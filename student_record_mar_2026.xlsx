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 Saqib for Software\"/>
    </mc:Choice>
  </mc:AlternateContent>
  <xr:revisionPtr revIDLastSave="0" documentId="8_{FA5F7C07-D62B-4C18-8650-C86A8F02AF60}" xr6:coauthVersionLast="47" xr6:coauthVersionMax="47" xr10:uidLastSave="{00000000-0000-0000-0000-000000000000}"/>
  <bookViews>
    <workbookView xWindow="-120" yWindow="-120" windowWidth="20640" windowHeight="11040" xr2:uid="{900FDCC9-8859-40F0-BD23-107BDA2B6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60" i="1" l="1" a="1"/>
  <c r="Q460" i="1" s="1"/>
  <c r="O460" i="1"/>
  <c r="P460" i="1" s="1"/>
  <c r="R460" i="1" s="1"/>
  <c r="N460" i="1"/>
  <c r="L460" i="1"/>
  <c r="K460" i="1"/>
  <c r="Q459" i="1" a="1"/>
  <c r="Q459" i="1" s="1"/>
  <c r="P459" i="1"/>
  <c r="R459" i="1" s="1"/>
  <c r="O459" i="1"/>
  <c r="N459" i="1"/>
  <c r="L459" i="1"/>
  <c r="K459" i="1"/>
  <c r="Q458" i="1" a="1"/>
  <c r="Q458" i="1" s="1"/>
  <c r="P458" i="1"/>
  <c r="O458" i="1"/>
  <c r="R458" i="1" s="1"/>
  <c r="N458" i="1"/>
  <c r="L458" i="1"/>
  <c r="K458" i="1"/>
  <c r="Q457" i="1" a="1"/>
  <c r="Q457" i="1" s="1"/>
  <c r="P457" i="1"/>
  <c r="O457" i="1"/>
  <c r="R457" i="1" s="1"/>
  <c r="N457" i="1"/>
  <c r="L457" i="1"/>
  <c r="K457" i="1"/>
  <c r="Q456" i="1" a="1"/>
  <c r="Q456" i="1" s="1"/>
  <c r="P456" i="1"/>
  <c r="O456" i="1"/>
  <c r="R456" i="1" s="1"/>
  <c r="N456" i="1"/>
  <c r="L456" i="1"/>
  <c r="K456" i="1"/>
  <c r="Q455" i="1" a="1"/>
  <c r="Q455" i="1" s="1"/>
  <c r="P455" i="1"/>
  <c r="O455" i="1"/>
  <c r="R455" i="1" s="1"/>
  <c r="N455" i="1"/>
  <c r="L455" i="1"/>
  <c r="K455" i="1"/>
  <c r="Q454" i="1"/>
  <c r="Q454" i="1" a="1"/>
  <c r="P454" i="1"/>
  <c r="O454" i="1"/>
  <c r="N454" i="1"/>
  <c r="L454" i="1"/>
  <c r="K454" i="1"/>
  <c r="Q453" i="1" a="1"/>
  <c r="Q453" i="1" s="1"/>
  <c r="O453" i="1"/>
  <c r="P453" i="1" s="1"/>
  <c r="R453" i="1" s="1"/>
  <c r="N453" i="1"/>
  <c r="L453" i="1"/>
  <c r="K453" i="1"/>
  <c r="Q452" i="1"/>
  <c r="Q452" i="1" a="1"/>
  <c r="O452" i="1"/>
  <c r="P452" i="1" s="1"/>
  <c r="R452" i="1" s="1"/>
  <c r="N452" i="1"/>
  <c r="L452" i="1"/>
  <c r="K452" i="1"/>
  <c r="Q451" i="1"/>
  <c r="Q451" i="1" a="1"/>
  <c r="O451" i="1"/>
  <c r="P451" i="1" s="1"/>
  <c r="R451" i="1" s="1"/>
  <c r="N451" i="1"/>
  <c r="L451" i="1"/>
  <c r="K451" i="1"/>
  <c r="Q450" i="1" a="1"/>
  <c r="Q450" i="1" s="1"/>
  <c r="O450" i="1"/>
  <c r="P450" i="1" s="1"/>
  <c r="R450" i="1" s="1"/>
  <c r="N450" i="1"/>
  <c r="L450" i="1"/>
  <c r="K450" i="1"/>
  <c r="Q449" i="1" a="1"/>
  <c r="Q449" i="1" s="1"/>
  <c r="O449" i="1"/>
  <c r="P449" i="1" s="1"/>
  <c r="R449" i="1" s="1"/>
  <c r="N449" i="1"/>
  <c r="L449" i="1"/>
  <c r="K449" i="1"/>
  <c r="Q448" i="1"/>
  <c r="Q448" i="1" a="1"/>
  <c r="O448" i="1"/>
  <c r="P448" i="1" s="1"/>
  <c r="R448" i="1" s="1"/>
  <c r="N448" i="1"/>
  <c r="L448" i="1"/>
  <c r="K448" i="1"/>
  <c r="Q447" i="1"/>
  <c r="Q447" i="1" a="1"/>
  <c r="O447" i="1"/>
  <c r="P447" i="1" s="1"/>
  <c r="R447" i="1" s="1"/>
  <c r="N447" i="1"/>
  <c r="L447" i="1"/>
  <c r="K447" i="1"/>
  <c r="Q446" i="1" a="1"/>
  <c r="Q446" i="1" s="1"/>
  <c r="O446" i="1"/>
  <c r="P446" i="1" s="1"/>
  <c r="R446" i="1" s="1"/>
  <c r="N446" i="1"/>
  <c r="L446" i="1"/>
  <c r="K446" i="1"/>
  <c r="Q445" i="1" a="1"/>
  <c r="Q445" i="1" s="1"/>
  <c r="O445" i="1"/>
  <c r="P445" i="1" s="1"/>
  <c r="R445" i="1" s="1"/>
  <c r="N445" i="1"/>
  <c r="L445" i="1"/>
  <c r="K445" i="1"/>
  <c r="Q444" i="1"/>
  <c r="Q444" i="1" a="1"/>
  <c r="O444" i="1"/>
  <c r="P444" i="1" s="1"/>
  <c r="R444" i="1" s="1"/>
  <c r="N444" i="1"/>
  <c r="L444" i="1"/>
  <c r="K444" i="1"/>
  <c r="Q443" i="1"/>
  <c r="Q443" i="1" a="1"/>
  <c r="O443" i="1"/>
  <c r="P443" i="1" s="1"/>
  <c r="R443" i="1" s="1"/>
  <c r="N443" i="1"/>
  <c r="L443" i="1"/>
  <c r="K443" i="1"/>
  <c r="Q442" i="1" a="1"/>
  <c r="Q442" i="1" s="1"/>
  <c r="O442" i="1"/>
  <c r="P442" i="1" s="1"/>
  <c r="R442" i="1" s="1"/>
  <c r="N442" i="1"/>
  <c r="L442" i="1"/>
  <c r="K442" i="1"/>
  <c r="Q441" i="1" a="1"/>
  <c r="Q441" i="1" s="1"/>
  <c r="O441" i="1"/>
  <c r="P441" i="1" s="1"/>
  <c r="R441" i="1" s="1"/>
  <c r="N441" i="1"/>
  <c r="L441" i="1"/>
  <c r="K441" i="1"/>
  <c r="Q440" i="1"/>
  <c r="Q440" i="1" a="1"/>
  <c r="O440" i="1"/>
  <c r="P440" i="1" s="1"/>
  <c r="R440" i="1" s="1"/>
  <c r="N440" i="1"/>
  <c r="L440" i="1"/>
  <c r="K440" i="1"/>
  <c r="Q439" i="1"/>
  <c r="Q439" i="1" a="1"/>
  <c r="O439" i="1"/>
  <c r="P439" i="1" s="1"/>
  <c r="R439" i="1" s="1"/>
  <c r="N439" i="1"/>
  <c r="L439" i="1"/>
  <c r="K439" i="1"/>
  <c r="Q438" i="1" a="1"/>
  <c r="Q438" i="1" s="1"/>
  <c r="O438" i="1"/>
  <c r="P438" i="1" s="1"/>
  <c r="R438" i="1" s="1"/>
  <c r="N438" i="1"/>
  <c r="L438" i="1"/>
  <c r="K438" i="1"/>
  <c r="Q437" i="1" a="1"/>
  <c r="Q437" i="1" s="1"/>
  <c r="O437" i="1"/>
  <c r="P437" i="1" s="1"/>
  <c r="R437" i="1" s="1"/>
  <c r="N437" i="1"/>
  <c r="L437" i="1"/>
  <c r="K437" i="1"/>
  <c r="Q436" i="1"/>
  <c r="Q436" i="1" a="1"/>
  <c r="O436" i="1"/>
  <c r="P436" i="1" s="1"/>
  <c r="R436" i="1" s="1"/>
  <c r="N436" i="1"/>
  <c r="L436" i="1"/>
  <c r="K436" i="1"/>
  <c r="Q435" i="1"/>
  <c r="Q435" i="1" a="1"/>
  <c r="O435" i="1"/>
  <c r="P435" i="1" s="1"/>
  <c r="R435" i="1" s="1"/>
  <c r="N435" i="1"/>
  <c r="L435" i="1"/>
  <c r="K435" i="1"/>
  <c r="Q434" i="1" a="1"/>
  <c r="Q434" i="1" s="1"/>
  <c r="O434" i="1"/>
  <c r="P434" i="1" s="1"/>
  <c r="R434" i="1" s="1"/>
  <c r="N434" i="1"/>
  <c r="L434" i="1"/>
  <c r="K434" i="1"/>
  <c r="Q433" i="1" a="1"/>
  <c r="Q433" i="1" s="1"/>
  <c r="O433" i="1"/>
  <c r="P433" i="1" s="1"/>
  <c r="R433" i="1" s="1"/>
  <c r="N433" i="1"/>
  <c r="L433" i="1"/>
  <c r="K433" i="1"/>
  <c r="Q432" i="1" a="1"/>
  <c r="Q432" i="1" s="1"/>
  <c r="O432" i="1"/>
  <c r="P432" i="1" s="1"/>
  <c r="R432" i="1" s="1"/>
  <c r="N432" i="1"/>
  <c r="L432" i="1"/>
  <c r="K432" i="1"/>
  <c r="Q431" i="1"/>
  <c r="Q431" i="1" a="1"/>
  <c r="O431" i="1"/>
  <c r="P431" i="1" s="1"/>
  <c r="R431" i="1" s="1"/>
  <c r="N431" i="1"/>
  <c r="L431" i="1"/>
  <c r="K431" i="1"/>
  <c r="Q430" i="1" a="1"/>
  <c r="Q430" i="1" s="1"/>
  <c r="O430" i="1"/>
  <c r="P430" i="1" s="1"/>
  <c r="R430" i="1" s="1"/>
  <c r="N430" i="1"/>
  <c r="L430" i="1"/>
  <c r="K430" i="1"/>
  <c r="Q429" i="1" a="1"/>
  <c r="Q429" i="1" s="1"/>
  <c r="O429" i="1"/>
  <c r="P429" i="1" s="1"/>
  <c r="R429" i="1" s="1"/>
  <c r="N429" i="1"/>
  <c r="L429" i="1"/>
  <c r="K429" i="1"/>
  <c r="Q428" i="1" a="1"/>
  <c r="Q428" i="1" s="1"/>
  <c r="O428" i="1"/>
  <c r="P428" i="1" s="1"/>
  <c r="R428" i="1" s="1"/>
  <c r="N428" i="1"/>
  <c r="L428" i="1"/>
  <c r="K428" i="1"/>
  <c r="Q427" i="1"/>
  <c r="Q427" i="1" a="1"/>
  <c r="O427" i="1"/>
  <c r="P427" i="1" s="1"/>
  <c r="R427" i="1" s="1"/>
  <c r="N427" i="1"/>
  <c r="L427" i="1"/>
  <c r="K427" i="1"/>
  <c r="Q426" i="1" a="1"/>
  <c r="Q426" i="1" s="1"/>
  <c r="O426" i="1"/>
  <c r="P426" i="1" s="1"/>
  <c r="R426" i="1" s="1"/>
  <c r="N426" i="1"/>
  <c r="L426" i="1"/>
  <c r="K426" i="1"/>
  <c r="Q425" i="1" a="1"/>
  <c r="Q425" i="1" s="1"/>
  <c r="O425" i="1"/>
  <c r="P425" i="1" s="1"/>
  <c r="R425" i="1" s="1"/>
  <c r="N425" i="1"/>
  <c r="L425" i="1"/>
  <c r="K425" i="1"/>
  <c r="Q424" i="1" a="1"/>
  <c r="Q424" i="1" s="1"/>
  <c r="N424" i="1"/>
  <c r="O424" i="1" s="1"/>
  <c r="P424" i="1" s="1"/>
  <c r="R424" i="1" s="1"/>
  <c r="L424" i="1"/>
  <c r="K424" i="1"/>
  <c r="Q423" i="1" a="1"/>
  <c r="Q423" i="1" s="1"/>
  <c r="N423" i="1"/>
  <c r="O423" i="1" s="1"/>
  <c r="P423" i="1" s="1"/>
  <c r="R423" i="1" s="1"/>
  <c r="L423" i="1"/>
  <c r="K423" i="1"/>
  <c r="Q422" i="1" a="1"/>
  <c r="Q422" i="1" s="1"/>
  <c r="N422" i="1"/>
  <c r="O422" i="1" s="1"/>
  <c r="P422" i="1" s="1"/>
  <c r="R422" i="1" s="1"/>
  <c r="L422" i="1"/>
  <c r="K422" i="1"/>
  <c r="Q421" i="1"/>
  <c r="Q421" i="1" a="1"/>
  <c r="N421" i="1"/>
  <c r="O421" i="1" s="1"/>
  <c r="P421" i="1" s="1"/>
  <c r="R421" i="1" s="1"/>
  <c r="L421" i="1"/>
  <c r="K421" i="1"/>
  <c r="Q420" i="1" a="1"/>
  <c r="Q420" i="1" s="1"/>
  <c r="N420" i="1"/>
  <c r="O420" i="1" s="1"/>
  <c r="P420" i="1" s="1"/>
  <c r="R420" i="1" s="1"/>
  <c r="L420" i="1"/>
  <c r="K420" i="1"/>
  <c r="Q419" i="1"/>
  <c r="Q419" i="1" a="1"/>
  <c r="N419" i="1"/>
  <c r="O419" i="1" s="1"/>
  <c r="P419" i="1" s="1"/>
  <c r="R419" i="1" s="1"/>
  <c r="L419" i="1"/>
  <c r="K419" i="1"/>
  <c r="Q418" i="1"/>
  <c r="Q418" i="1" a="1"/>
  <c r="N418" i="1"/>
  <c r="O418" i="1" s="1"/>
  <c r="P418" i="1" s="1"/>
  <c r="R418" i="1" s="1"/>
  <c r="L418" i="1"/>
  <c r="K418" i="1"/>
  <c r="Q417" i="1"/>
  <c r="Q417" i="1" a="1"/>
  <c r="N417" i="1"/>
  <c r="O417" i="1" s="1"/>
  <c r="P417" i="1" s="1"/>
  <c r="R417" i="1" s="1"/>
  <c r="L417" i="1"/>
  <c r="K417" i="1"/>
  <c r="Q416" i="1" a="1"/>
  <c r="Q416" i="1" s="1"/>
  <c r="N416" i="1"/>
  <c r="O416" i="1" s="1"/>
  <c r="P416" i="1" s="1"/>
  <c r="R416" i="1" s="1"/>
  <c r="L416" i="1"/>
  <c r="K416" i="1"/>
  <c r="Q415" i="1" a="1"/>
  <c r="Q415" i="1" s="1"/>
  <c r="N415" i="1"/>
  <c r="O415" i="1" s="1"/>
  <c r="P415" i="1" s="1"/>
  <c r="R415" i="1" s="1"/>
  <c r="L415" i="1"/>
  <c r="K415" i="1"/>
  <c r="Q414" i="1" a="1"/>
  <c r="Q414" i="1" s="1"/>
  <c r="N414" i="1"/>
  <c r="O414" i="1" s="1"/>
  <c r="P414" i="1" s="1"/>
  <c r="R414" i="1" s="1"/>
  <c r="L414" i="1"/>
  <c r="K414" i="1"/>
  <c r="Q413" i="1"/>
  <c r="Q413" i="1" a="1"/>
  <c r="N413" i="1"/>
  <c r="O413" i="1" s="1"/>
  <c r="P413" i="1" s="1"/>
  <c r="R413" i="1" s="1"/>
  <c r="L413" i="1"/>
  <c r="K413" i="1"/>
  <c r="Q412" i="1" a="1"/>
  <c r="Q412" i="1" s="1"/>
  <c r="N412" i="1"/>
  <c r="O412" i="1" s="1"/>
  <c r="P412" i="1" s="1"/>
  <c r="R412" i="1" s="1"/>
  <c r="L412" i="1"/>
  <c r="K412" i="1"/>
  <c r="Q411" i="1"/>
  <c r="Q411" i="1" a="1"/>
  <c r="N411" i="1"/>
  <c r="O411" i="1" s="1"/>
  <c r="P411" i="1" s="1"/>
  <c r="R411" i="1" s="1"/>
  <c r="L411" i="1"/>
  <c r="K411" i="1"/>
  <c r="Q410" i="1"/>
  <c r="Q410" i="1" a="1"/>
  <c r="N410" i="1"/>
  <c r="O410" i="1" s="1"/>
  <c r="P410" i="1" s="1"/>
  <c r="R410" i="1" s="1"/>
  <c r="L410" i="1"/>
  <c r="K410" i="1"/>
  <c r="Q409" i="1"/>
  <c r="Q409" i="1" a="1"/>
  <c r="O409" i="1"/>
  <c r="P409" i="1" s="1"/>
  <c r="R409" i="1" s="1"/>
  <c r="N409" i="1"/>
  <c r="L409" i="1"/>
  <c r="K409" i="1"/>
  <c r="Q408" i="1"/>
  <c r="Q408" i="1" a="1"/>
  <c r="N408" i="1"/>
  <c r="O408" i="1" s="1"/>
  <c r="P408" i="1" s="1"/>
  <c r="R408" i="1" s="1"/>
  <c r="L408" i="1"/>
  <c r="K408" i="1"/>
  <c r="Q407" i="1"/>
  <c r="Q407" i="1" a="1"/>
  <c r="N407" i="1"/>
  <c r="O407" i="1" s="1"/>
  <c r="P407" i="1" s="1"/>
  <c r="R407" i="1" s="1"/>
  <c r="L407" i="1"/>
  <c r="K407" i="1"/>
  <c r="Q406" i="1"/>
  <c r="Q406" i="1" a="1"/>
  <c r="N406" i="1"/>
  <c r="O406" i="1" s="1"/>
  <c r="P406" i="1" s="1"/>
  <c r="R406" i="1" s="1"/>
  <c r="L406" i="1"/>
  <c r="K406" i="1"/>
  <c r="Q405" i="1" a="1"/>
  <c r="Q405" i="1" s="1"/>
  <c r="O405" i="1"/>
  <c r="P405" i="1" s="1"/>
  <c r="R405" i="1" s="1"/>
  <c r="N405" i="1"/>
  <c r="L405" i="1"/>
  <c r="K405" i="1"/>
  <c r="Q404" i="1"/>
  <c r="Q404" i="1" a="1"/>
  <c r="N404" i="1"/>
  <c r="O404" i="1" s="1"/>
  <c r="P404" i="1" s="1"/>
  <c r="R404" i="1" s="1"/>
  <c r="L404" i="1"/>
  <c r="K404" i="1"/>
  <c r="Q403" i="1"/>
  <c r="Q403" i="1" a="1"/>
  <c r="N403" i="1"/>
  <c r="O403" i="1" s="1"/>
  <c r="P403" i="1" s="1"/>
  <c r="R403" i="1" s="1"/>
  <c r="L403" i="1"/>
  <c r="K403" i="1"/>
  <c r="Q402" i="1" a="1"/>
  <c r="Q402" i="1" s="1"/>
  <c r="N402" i="1"/>
  <c r="O402" i="1" s="1"/>
  <c r="P402" i="1" s="1"/>
  <c r="R402" i="1" s="1"/>
  <c r="L402" i="1"/>
  <c r="K402" i="1"/>
  <c r="Q401" i="1" a="1"/>
  <c r="Q401" i="1" s="1"/>
  <c r="O401" i="1"/>
  <c r="P401" i="1" s="1"/>
  <c r="R401" i="1" s="1"/>
  <c r="N401" i="1"/>
  <c r="L401" i="1"/>
  <c r="K401" i="1"/>
  <c r="Q400" i="1"/>
  <c r="Q400" i="1" a="1"/>
  <c r="N400" i="1"/>
  <c r="O400" i="1" s="1"/>
  <c r="P400" i="1" s="1"/>
  <c r="R400" i="1" s="1"/>
  <c r="L400" i="1"/>
  <c r="K400" i="1"/>
  <c r="Q399" i="1" a="1"/>
  <c r="Q399" i="1" s="1"/>
  <c r="N399" i="1"/>
  <c r="O399" i="1" s="1"/>
  <c r="P399" i="1" s="1"/>
  <c r="R399" i="1" s="1"/>
  <c r="L399" i="1"/>
  <c r="K399" i="1"/>
  <c r="Q398" i="1" a="1"/>
  <c r="Q398" i="1" s="1"/>
  <c r="N398" i="1"/>
  <c r="O398" i="1" s="1"/>
  <c r="P398" i="1" s="1"/>
  <c r="R398" i="1" s="1"/>
  <c r="L398" i="1"/>
  <c r="K398" i="1"/>
  <c r="Q397" i="1" a="1"/>
  <c r="Q397" i="1" s="1"/>
  <c r="O397" i="1"/>
  <c r="P397" i="1" s="1"/>
  <c r="R397" i="1" s="1"/>
  <c r="N397" i="1"/>
  <c r="L397" i="1"/>
  <c r="K397" i="1"/>
  <c r="Q396" i="1" a="1"/>
  <c r="Q396" i="1" s="1"/>
  <c r="N396" i="1"/>
  <c r="O396" i="1" s="1"/>
  <c r="P396" i="1" s="1"/>
  <c r="R396" i="1" s="1"/>
  <c r="L396" i="1"/>
  <c r="K396" i="1"/>
  <c r="Q395" i="1" a="1"/>
  <c r="Q395" i="1" s="1"/>
  <c r="N395" i="1"/>
  <c r="O395" i="1" s="1"/>
  <c r="P395" i="1" s="1"/>
  <c r="R395" i="1" s="1"/>
  <c r="L395" i="1"/>
  <c r="K395" i="1"/>
  <c r="Q394" i="1" a="1"/>
  <c r="Q394" i="1" s="1"/>
  <c r="N394" i="1"/>
  <c r="O394" i="1" s="1"/>
  <c r="P394" i="1" s="1"/>
  <c r="R394" i="1" s="1"/>
  <c r="L394" i="1"/>
  <c r="K394" i="1"/>
  <c r="Q393" i="1"/>
  <c r="Q393" i="1" a="1"/>
  <c r="O393" i="1"/>
  <c r="P393" i="1" s="1"/>
  <c r="R393" i="1" s="1"/>
  <c r="N393" i="1"/>
  <c r="L393" i="1"/>
  <c r="K393" i="1"/>
  <c r="Q392" i="1" a="1"/>
  <c r="Q392" i="1" s="1"/>
  <c r="N392" i="1"/>
  <c r="O392" i="1" s="1"/>
  <c r="P392" i="1" s="1"/>
  <c r="R392" i="1" s="1"/>
  <c r="L392" i="1"/>
  <c r="K392" i="1"/>
  <c r="Q391" i="1" a="1"/>
  <c r="Q391" i="1" s="1"/>
  <c r="N391" i="1"/>
  <c r="O391" i="1" s="1"/>
  <c r="P391" i="1" s="1"/>
  <c r="R391" i="1" s="1"/>
  <c r="L391" i="1"/>
  <c r="K391" i="1"/>
  <c r="R390" i="1"/>
  <c r="Q390" i="1" a="1"/>
  <c r="Q390" i="1" s="1"/>
  <c r="O390" i="1"/>
  <c r="P390" i="1" s="1"/>
  <c r="N390" i="1"/>
  <c r="L390" i="1"/>
  <c r="K390" i="1"/>
  <c r="Q389" i="1"/>
  <c r="Q389" i="1" a="1"/>
  <c r="N389" i="1"/>
  <c r="O389" i="1" s="1"/>
  <c r="P389" i="1" s="1"/>
  <c r="R389" i="1" s="1"/>
  <c r="L389" i="1"/>
  <c r="K389" i="1"/>
  <c r="Q388" i="1"/>
  <c r="Q388" i="1" a="1"/>
  <c r="N388" i="1"/>
  <c r="O388" i="1" s="1"/>
  <c r="P388" i="1" s="1"/>
  <c r="R388" i="1" s="1"/>
  <c r="L388" i="1"/>
  <c r="K388" i="1"/>
  <c r="R387" i="1"/>
  <c r="Q387" i="1"/>
  <c r="Q387" i="1" a="1"/>
  <c r="O387" i="1"/>
  <c r="P387" i="1" s="1"/>
  <c r="N387" i="1"/>
  <c r="L387" i="1"/>
  <c r="K387" i="1"/>
  <c r="Q386" i="1"/>
  <c r="Q386" i="1" a="1"/>
  <c r="N386" i="1"/>
  <c r="O386" i="1" s="1"/>
  <c r="P386" i="1" s="1"/>
  <c r="R386" i="1" s="1"/>
  <c r="L386" i="1"/>
  <c r="K386" i="1"/>
  <c r="Q385" i="1" a="1"/>
  <c r="Q385" i="1" s="1"/>
  <c r="N385" i="1"/>
  <c r="O385" i="1" s="1"/>
  <c r="P385" i="1" s="1"/>
  <c r="R385" i="1" s="1"/>
  <c r="L385" i="1"/>
  <c r="K385" i="1"/>
  <c r="Q384" i="1"/>
  <c r="Q384" i="1" a="1"/>
  <c r="O384" i="1"/>
  <c r="P384" i="1" s="1"/>
  <c r="R384" i="1" s="1"/>
  <c r="N384" i="1"/>
  <c r="L384" i="1"/>
  <c r="K384" i="1"/>
  <c r="Q383" i="1"/>
  <c r="Q383" i="1" a="1"/>
  <c r="N383" i="1"/>
  <c r="O383" i="1" s="1"/>
  <c r="P383" i="1" s="1"/>
  <c r="R383" i="1" s="1"/>
  <c r="L383" i="1"/>
  <c r="K383" i="1"/>
  <c r="R382" i="1"/>
  <c r="Q382" i="1" a="1"/>
  <c r="Q382" i="1" s="1"/>
  <c r="O382" i="1"/>
  <c r="P382" i="1" s="1"/>
  <c r="N382" i="1"/>
  <c r="L382" i="1"/>
  <c r="K382" i="1"/>
  <c r="Q381" i="1"/>
  <c r="Q381" i="1" a="1"/>
  <c r="N381" i="1"/>
  <c r="O381" i="1" s="1"/>
  <c r="P381" i="1" s="1"/>
  <c r="R381" i="1" s="1"/>
  <c r="L381" i="1"/>
  <c r="K381" i="1"/>
  <c r="Q380" i="1" a="1"/>
  <c r="Q380" i="1" s="1"/>
  <c r="N380" i="1"/>
  <c r="O380" i="1" s="1"/>
  <c r="P380" i="1" s="1"/>
  <c r="R380" i="1" s="1"/>
  <c r="L380" i="1"/>
  <c r="K380" i="1"/>
  <c r="R379" i="1"/>
  <c r="Q379" i="1"/>
  <c r="Q379" i="1" a="1"/>
  <c r="O379" i="1"/>
  <c r="P379" i="1" s="1"/>
  <c r="N379" i="1"/>
  <c r="L379" i="1"/>
  <c r="K379" i="1"/>
  <c r="Q378" i="1" a="1"/>
  <c r="Q378" i="1" s="1"/>
  <c r="N378" i="1"/>
  <c r="O378" i="1" s="1"/>
  <c r="P378" i="1" s="1"/>
  <c r="R378" i="1" s="1"/>
  <c r="L378" i="1"/>
  <c r="K378" i="1"/>
  <c r="Q377" i="1"/>
  <c r="Q377" i="1" a="1"/>
  <c r="N377" i="1"/>
  <c r="O377" i="1" s="1"/>
  <c r="P377" i="1" s="1"/>
  <c r="R377" i="1" s="1"/>
  <c r="L377" i="1"/>
  <c r="K377" i="1"/>
  <c r="Q376" i="1"/>
  <c r="Q376" i="1" a="1"/>
  <c r="O376" i="1"/>
  <c r="P376" i="1" s="1"/>
  <c r="R376" i="1" s="1"/>
  <c r="N376" i="1"/>
  <c r="L376" i="1"/>
  <c r="K376" i="1"/>
  <c r="Q375" i="1" a="1"/>
  <c r="Q375" i="1" s="1"/>
  <c r="N375" i="1"/>
  <c r="O375" i="1" s="1"/>
  <c r="P375" i="1" s="1"/>
  <c r="R375" i="1" s="1"/>
  <c r="L375" i="1"/>
  <c r="K375" i="1"/>
  <c r="Q374" i="1"/>
  <c r="Q374" i="1" a="1"/>
  <c r="N374" i="1"/>
  <c r="O374" i="1" s="1"/>
  <c r="P374" i="1" s="1"/>
  <c r="R374" i="1" s="1"/>
  <c r="L374" i="1"/>
  <c r="K374" i="1"/>
  <c r="R373" i="1"/>
  <c r="Q373" i="1"/>
  <c r="Q373" i="1" a="1"/>
  <c r="N373" i="1"/>
  <c r="O373" i="1" s="1"/>
  <c r="P373" i="1" s="1"/>
  <c r="L373" i="1"/>
  <c r="K373" i="1"/>
  <c r="R372" i="1"/>
  <c r="Q372" i="1" a="1"/>
  <c r="Q372" i="1" s="1"/>
  <c r="N372" i="1"/>
  <c r="O372" i="1" s="1"/>
  <c r="P372" i="1" s="1"/>
  <c r="L372" i="1"/>
  <c r="K372" i="1"/>
  <c r="Q371" i="1" a="1"/>
  <c r="Q371" i="1" s="1"/>
  <c r="N371" i="1"/>
  <c r="O371" i="1" s="1"/>
  <c r="P371" i="1" s="1"/>
  <c r="R371" i="1" s="1"/>
  <c r="L371" i="1"/>
  <c r="K371" i="1"/>
  <c r="Q370" i="1"/>
  <c r="Q370" i="1" a="1"/>
  <c r="N370" i="1"/>
  <c r="O370" i="1" s="1"/>
  <c r="P370" i="1" s="1"/>
  <c r="R370" i="1" s="1"/>
  <c r="L370" i="1"/>
  <c r="K370" i="1"/>
  <c r="R369" i="1"/>
  <c r="Q369" i="1" a="1"/>
  <c r="Q369" i="1" s="1"/>
  <c r="N369" i="1"/>
  <c r="O369" i="1" s="1"/>
  <c r="P369" i="1" s="1"/>
  <c r="L369" i="1"/>
  <c r="K369" i="1"/>
  <c r="R368" i="1"/>
  <c r="Q368" i="1"/>
  <c r="Q368" i="1" a="1"/>
  <c r="N368" i="1"/>
  <c r="O368" i="1" s="1"/>
  <c r="P368" i="1" s="1"/>
  <c r="L368" i="1"/>
  <c r="K368" i="1"/>
  <c r="Q367" i="1" a="1"/>
  <c r="Q367" i="1" s="1"/>
  <c r="N367" i="1"/>
  <c r="O367" i="1" s="1"/>
  <c r="P367" i="1" s="1"/>
  <c r="R367" i="1" s="1"/>
  <c r="L367" i="1"/>
  <c r="K367" i="1"/>
  <c r="Q366" i="1" a="1"/>
  <c r="Q366" i="1" s="1"/>
  <c r="N366" i="1"/>
  <c r="O366" i="1" s="1"/>
  <c r="P366" i="1" s="1"/>
  <c r="R366" i="1" s="1"/>
  <c r="L366" i="1"/>
  <c r="K366" i="1"/>
  <c r="R365" i="1"/>
  <c r="Q365" i="1"/>
  <c r="Q365" i="1" a="1"/>
  <c r="N365" i="1"/>
  <c r="O365" i="1" s="1"/>
  <c r="P365" i="1" s="1"/>
  <c r="L365" i="1"/>
  <c r="K365" i="1"/>
  <c r="R364" i="1"/>
  <c r="Q364" i="1"/>
  <c r="Q364" i="1" a="1"/>
  <c r="N364" i="1"/>
  <c r="O364" i="1" s="1"/>
  <c r="P364" i="1" s="1"/>
  <c r="L364" i="1"/>
  <c r="K364" i="1"/>
  <c r="Q363" i="1"/>
  <c r="Q363" i="1" a="1"/>
  <c r="N363" i="1"/>
  <c r="O363" i="1" s="1"/>
  <c r="P363" i="1" s="1"/>
  <c r="R363" i="1" s="1"/>
  <c r="L363" i="1"/>
  <c r="K363" i="1"/>
  <c r="Q362" i="1"/>
  <c r="Q362" i="1" a="1"/>
  <c r="N362" i="1"/>
  <c r="O362" i="1" s="1"/>
  <c r="P362" i="1" s="1"/>
  <c r="R362" i="1" s="1"/>
  <c r="L362" i="1"/>
  <c r="K362" i="1"/>
  <c r="R361" i="1"/>
  <c r="Q361" i="1"/>
  <c r="Q361" i="1" a="1"/>
  <c r="N361" i="1"/>
  <c r="O361" i="1" s="1"/>
  <c r="P361" i="1" s="1"/>
  <c r="L361" i="1"/>
  <c r="K361" i="1"/>
  <c r="R360" i="1"/>
  <c r="Q360" i="1"/>
  <c r="Q360" i="1" a="1"/>
  <c r="N360" i="1"/>
  <c r="O360" i="1" s="1"/>
  <c r="P360" i="1" s="1"/>
  <c r="L360" i="1"/>
  <c r="K360" i="1"/>
  <c r="Q359" i="1" a="1"/>
  <c r="Q359" i="1" s="1"/>
  <c r="N359" i="1"/>
  <c r="O359" i="1" s="1"/>
  <c r="P359" i="1" s="1"/>
  <c r="R359" i="1" s="1"/>
  <c r="L359" i="1"/>
  <c r="K359" i="1"/>
  <c r="Q358" i="1"/>
  <c r="Q358" i="1" a="1"/>
  <c r="N358" i="1"/>
  <c r="O358" i="1" s="1"/>
  <c r="P358" i="1" s="1"/>
  <c r="R358" i="1" s="1"/>
  <c r="L358" i="1"/>
  <c r="K358" i="1"/>
  <c r="R357" i="1"/>
  <c r="Q357" i="1"/>
  <c r="Q357" i="1" a="1"/>
  <c r="N357" i="1"/>
  <c r="O357" i="1" s="1"/>
  <c r="P357" i="1" s="1"/>
  <c r="L357" i="1"/>
  <c r="K357" i="1"/>
  <c r="R356" i="1"/>
  <c r="Q356" i="1" a="1"/>
  <c r="Q356" i="1" s="1"/>
  <c r="N356" i="1"/>
  <c r="O356" i="1" s="1"/>
  <c r="P356" i="1" s="1"/>
  <c r="L356" i="1"/>
  <c r="K356" i="1"/>
  <c r="Q355" i="1" a="1"/>
  <c r="Q355" i="1" s="1"/>
  <c r="N355" i="1"/>
  <c r="O355" i="1" s="1"/>
  <c r="P355" i="1" s="1"/>
  <c r="R355" i="1" s="1"/>
  <c r="L355" i="1"/>
  <c r="K355" i="1"/>
  <c r="Q354" i="1"/>
  <c r="Q354" i="1" a="1"/>
  <c r="N354" i="1"/>
  <c r="O354" i="1" s="1"/>
  <c r="P354" i="1" s="1"/>
  <c r="R354" i="1" s="1"/>
  <c r="L354" i="1"/>
  <c r="K354" i="1"/>
  <c r="R353" i="1"/>
  <c r="Q353" i="1" a="1"/>
  <c r="Q353" i="1" s="1"/>
  <c r="N353" i="1"/>
  <c r="O353" i="1" s="1"/>
  <c r="P353" i="1" s="1"/>
  <c r="L353" i="1"/>
  <c r="K353" i="1"/>
  <c r="R352" i="1"/>
  <c r="Q352" i="1"/>
  <c r="Q352" i="1" a="1"/>
  <c r="N352" i="1"/>
  <c r="O352" i="1" s="1"/>
  <c r="P352" i="1" s="1"/>
  <c r="L352" i="1"/>
  <c r="K352" i="1"/>
  <c r="Q351" i="1" a="1"/>
  <c r="Q351" i="1" s="1"/>
  <c r="N351" i="1"/>
  <c r="O351" i="1" s="1"/>
  <c r="P351" i="1" s="1"/>
  <c r="R351" i="1" s="1"/>
  <c r="L351" i="1"/>
  <c r="K351" i="1"/>
  <c r="Q350" i="1" a="1"/>
  <c r="Q350" i="1" s="1"/>
  <c r="N350" i="1"/>
  <c r="O350" i="1" s="1"/>
  <c r="P350" i="1" s="1"/>
  <c r="R350" i="1" s="1"/>
  <c r="L350" i="1"/>
  <c r="K350" i="1"/>
  <c r="R349" i="1"/>
  <c r="Q349" i="1"/>
  <c r="Q349" i="1" a="1"/>
  <c r="N349" i="1"/>
  <c r="O349" i="1" s="1"/>
  <c r="P349" i="1" s="1"/>
  <c r="L349" i="1"/>
  <c r="K349" i="1"/>
  <c r="R348" i="1"/>
  <c r="Q348" i="1"/>
  <c r="Q348" i="1" a="1"/>
  <c r="N348" i="1"/>
  <c r="O348" i="1" s="1"/>
  <c r="P348" i="1" s="1"/>
  <c r="L348" i="1"/>
  <c r="K348" i="1"/>
  <c r="Q347" i="1"/>
  <c r="Q347" i="1" a="1"/>
  <c r="N347" i="1"/>
  <c r="O347" i="1" s="1"/>
  <c r="P347" i="1" s="1"/>
  <c r="R347" i="1" s="1"/>
  <c r="L347" i="1"/>
  <c r="K347" i="1"/>
  <c r="Q346" i="1"/>
  <c r="Q346" i="1" a="1"/>
  <c r="N346" i="1"/>
  <c r="O346" i="1" s="1"/>
  <c r="P346" i="1" s="1"/>
  <c r="R346" i="1" s="1"/>
  <c r="L346" i="1"/>
  <c r="K346" i="1"/>
  <c r="R345" i="1"/>
  <c r="Q345" i="1"/>
  <c r="Q345" i="1" a="1"/>
  <c r="N345" i="1"/>
  <c r="O345" i="1" s="1"/>
  <c r="P345" i="1" s="1"/>
  <c r="L345" i="1"/>
  <c r="K345" i="1"/>
  <c r="R344" i="1"/>
  <c r="Q344" i="1"/>
  <c r="Q344" i="1" a="1"/>
  <c r="N344" i="1"/>
  <c r="O344" i="1" s="1"/>
  <c r="P344" i="1" s="1"/>
  <c r="L344" i="1"/>
  <c r="K344" i="1"/>
  <c r="Q343" i="1" a="1"/>
  <c r="Q343" i="1" s="1"/>
  <c r="N343" i="1"/>
  <c r="O343" i="1" s="1"/>
  <c r="P343" i="1" s="1"/>
  <c r="R343" i="1" s="1"/>
  <c r="L343" i="1"/>
  <c r="K343" i="1"/>
  <c r="Q342" i="1"/>
  <c r="Q342" i="1" a="1"/>
  <c r="N342" i="1"/>
  <c r="O342" i="1" s="1"/>
  <c r="P342" i="1" s="1"/>
  <c r="R342" i="1" s="1"/>
  <c r="L342" i="1"/>
  <c r="K342" i="1"/>
  <c r="R341" i="1"/>
  <c r="Q341" i="1"/>
  <c r="Q341" i="1" a="1"/>
  <c r="N341" i="1"/>
  <c r="O341" i="1" s="1"/>
  <c r="P341" i="1" s="1"/>
  <c r="L341" i="1"/>
  <c r="K341" i="1"/>
  <c r="Q340" i="1" a="1"/>
  <c r="Q340" i="1" s="1"/>
  <c r="N340" i="1"/>
  <c r="O340" i="1" s="1"/>
  <c r="P340" i="1" s="1"/>
  <c r="R340" i="1" s="1"/>
  <c r="L340" i="1"/>
  <c r="K340" i="1"/>
  <c r="Q339" i="1"/>
  <c r="Q339" i="1" a="1"/>
  <c r="N339" i="1"/>
  <c r="O339" i="1" s="1"/>
  <c r="P339" i="1" s="1"/>
  <c r="R339" i="1" s="1"/>
  <c r="L339" i="1"/>
  <c r="K339" i="1"/>
  <c r="Q338" i="1"/>
  <c r="Q338" i="1" a="1"/>
  <c r="N338" i="1"/>
  <c r="O338" i="1" s="1"/>
  <c r="P338" i="1" s="1"/>
  <c r="R338" i="1" s="1"/>
  <c r="L338" i="1"/>
  <c r="K338" i="1"/>
  <c r="R337" i="1"/>
  <c r="Q337" i="1" a="1"/>
  <c r="Q337" i="1" s="1"/>
  <c r="N337" i="1"/>
  <c r="O337" i="1" s="1"/>
  <c r="P337" i="1" s="1"/>
  <c r="L337" i="1"/>
  <c r="K337" i="1"/>
  <c r="Q336" i="1" a="1"/>
  <c r="Q336" i="1" s="1"/>
  <c r="N336" i="1"/>
  <c r="O336" i="1" s="1"/>
  <c r="P336" i="1" s="1"/>
  <c r="R336" i="1" s="1"/>
  <c r="L336" i="1"/>
  <c r="K336" i="1"/>
  <c r="Q335" i="1"/>
  <c r="Q335" i="1" a="1"/>
  <c r="N335" i="1"/>
  <c r="O335" i="1" s="1"/>
  <c r="P335" i="1" s="1"/>
  <c r="R335" i="1" s="1"/>
  <c r="L335" i="1"/>
  <c r="K335" i="1"/>
  <c r="Q334" i="1"/>
  <c r="Q334" i="1" a="1"/>
  <c r="N334" i="1"/>
  <c r="O334" i="1" s="1"/>
  <c r="P334" i="1" s="1"/>
  <c r="R334" i="1" s="1"/>
  <c r="L334" i="1"/>
  <c r="K334" i="1"/>
  <c r="R333" i="1"/>
  <c r="Q333" i="1" a="1"/>
  <c r="Q333" i="1" s="1"/>
  <c r="N333" i="1"/>
  <c r="O333" i="1" s="1"/>
  <c r="P333" i="1" s="1"/>
  <c r="L333" i="1"/>
  <c r="K333" i="1"/>
  <c r="Q332" i="1"/>
  <c r="Q332" i="1" a="1"/>
  <c r="N332" i="1"/>
  <c r="O332" i="1" s="1"/>
  <c r="P332" i="1" s="1"/>
  <c r="R332" i="1" s="1"/>
  <c r="L332" i="1"/>
  <c r="K332" i="1"/>
  <c r="Q331" i="1"/>
  <c r="Q331" i="1" a="1"/>
  <c r="N331" i="1"/>
  <c r="O331" i="1" s="1"/>
  <c r="P331" i="1" s="1"/>
  <c r="R331" i="1" s="1"/>
  <c r="L331" i="1"/>
  <c r="K331" i="1"/>
  <c r="Q330" i="1" a="1"/>
  <c r="Q330" i="1" s="1"/>
  <c r="N330" i="1"/>
  <c r="O330" i="1" s="1"/>
  <c r="P330" i="1" s="1"/>
  <c r="R330" i="1" s="1"/>
  <c r="L330" i="1"/>
  <c r="K330" i="1"/>
  <c r="R329" i="1"/>
  <c r="Q329" i="1"/>
  <c r="Q329" i="1" a="1"/>
  <c r="N329" i="1"/>
  <c r="O329" i="1" s="1"/>
  <c r="P329" i="1" s="1"/>
  <c r="L329" i="1"/>
  <c r="K329" i="1"/>
  <c r="Q328" i="1"/>
  <c r="Q328" i="1" a="1"/>
  <c r="N328" i="1"/>
  <c r="O328" i="1" s="1"/>
  <c r="P328" i="1" s="1"/>
  <c r="R328" i="1" s="1"/>
  <c r="L328" i="1"/>
  <c r="K328" i="1"/>
  <c r="Q327" i="1" a="1"/>
  <c r="Q327" i="1" s="1"/>
  <c r="N327" i="1"/>
  <c r="O327" i="1" s="1"/>
  <c r="P327" i="1" s="1"/>
  <c r="R327" i="1" s="1"/>
  <c r="L327" i="1"/>
  <c r="K327" i="1"/>
  <c r="Q326" i="1" a="1"/>
  <c r="Q326" i="1" s="1"/>
  <c r="N326" i="1"/>
  <c r="O326" i="1" s="1"/>
  <c r="P326" i="1" s="1"/>
  <c r="R326" i="1" s="1"/>
  <c r="L326" i="1"/>
  <c r="K326" i="1"/>
  <c r="R325" i="1"/>
  <c r="Q325" i="1" a="1"/>
  <c r="Q325" i="1" s="1"/>
  <c r="N325" i="1"/>
  <c r="O325" i="1" s="1"/>
  <c r="P325" i="1" s="1"/>
  <c r="L325" i="1"/>
  <c r="K325" i="1"/>
  <c r="Q324" i="1" a="1"/>
  <c r="Q324" i="1" s="1"/>
  <c r="N324" i="1"/>
  <c r="O324" i="1" s="1"/>
  <c r="P324" i="1" s="1"/>
  <c r="R324" i="1" s="1"/>
  <c r="L324" i="1"/>
  <c r="K324" i="1"/>
  <c r="Q323" i="1" a="1"/>
  <c r="Q323" i="1" s="1"/>
  <c r="N323" i="1"/>
  <c r="O323" i="1" s="1"/>
  <c r="P323" i="1" s="1"/>
  <c r="R323" i="1" s="1"/>
  <c r="L323" i="1"/>
  <c r="K323" i="1"/>
  <c r="Q322" i="1"/>
  <c r="Q322" i="1" a="1"/>
  <c r="N322" i="1"/>
  <c r="O322" i="1" s="1"/>
  <c r="P322" i="1" s="1"/>
  <c r="R322" i="1" s="1"/>
  <c r="L322" i="1"/>
  <c r="K322" i="1"/>
  <c r="R321" i="1"/>
  <c r="Q321" i="1" a="1"/>
  <c r="Q321" i="1" s="1"/>
  <c r="N321" i="1"/>
  <c r="O321" i="1" s="1"/>
  <c r="P321" i="1" s="1"/>
  <c r="L321" i="1"/>
  <c r="K321" i="1"/>
  <c r="Q320" i="1" a="1"/>
  <c r="Q320" i="1" s="1"/>
  <c r="N320" i="1"/>
  <c r="O320" i="1" s="1"/>
  <c r="P320" i="1" s="1"/>
  <c r="R320" i="1" s="1"/>
  <c r="L320" i="1"/>
  <c r="K320" i="1"/>
  <c r="Q319" i="1" a="1"/>
  <c r="Q319" i="1" s="1"/>
  <c r="N319" i="1"/>
  <c r="O319" i="1" s="1"/>
  <c r="P319" i="1" s="1"/>
  <c r="R319" i="1" s="1"/>
  <c r="L319" i="1"/>
  <c r="K319" i="1"/>
  <c r="Q318" i="1"/>
  <c r="Q318" i="1" a="1"/>
  <c r="N318" i="1"/>
  <c r="O318" i="1" s="1"/>
  <c r="P318" i="1" s="1"/>
  <c r="R318" i="1" s="1"/>
  <c r="L318" i="1"/>
  <c r="K318" i="1"/>
  <c r="R317" i="1"/>
  <c r="Q317" i="1" a="1"/>
  <c r="Q317" i="1" s="1"/>
  <c r="N317" i="1"/>
  <c r="O317" i="1" s="1"/>
  <c r="P317" i="1" s="1"/>
  <c r="L317" i="1"/>
  <c r="K317" i="1"/>
  <c r="Q316" i="1" a="1"/>
  <c r="Q316" i="1" s="1"/>
  <c r="N316" i="1"/>
  <c r="O316" i="1" s="1"/>
  <c r="P316" i="1" s="1"/>
  <c r="R316" i="1" s="1"/>
  <c r="L316" i="1"/>
  <c r="K316" i="1"/>
  <c r="Q315" i="1"/>
  <c r="Q315" i="1" a="1"/>
  <c r="N315" i="1"/>
  <c r="O315" i="1" s="1"/>
  <c r="P315" i="1" s="1"/>
  <c r="R315" i="1" s="1"/>
  <c r="L315" i="1"/>
  <c r="K315" i="1"/>
  <c r="Q314" i="1" a="1"/>
  <c r="Q314" i="1" s="1"/>
  <c r="N314" i="1"/>
  <c r="O314" i="1" s="1"/>
  <c r="P314" i="1" s="1"/>
  <c r="R314" i="1" s="1"/>
  <c r="L314" i="1"/>
  <c r="K314" i="1"/>
  <c r="R313" i="1"/>
  <c r="Q313" i="1" a="1"/>
  <c r="Q313" i="1" s="1"/>
  <c r="N313" i="1"/>
  <c r="O313" i="1" s="1"/>
  <c r="P313" i="1" s="1"/>
  <c r="L313" i="1"/>
  <c r="K313" i="1"/>
  <c r="Q312" i="1"/>
  <c r="Q312" i="1" a="1"/>
  <c r="N312" i="1"/>
  <c r="O312" i="1" s="1"/>
  <c r="P312" i="1" s="1"/>
  <c r="R312" i="1" s="1"/>
  <c r="L312" i="1"/>
  <c r="K312" i="1"/>
  <c r="Q311" i="1" a="1"/>
  <c r="Q311" i="1" s="1"/>
  <c r="N311" i="1"/>
  <c r="O311" i="1" s="1"/>
  <c r="P311" i="1" s="1"/>
  <c r="R311" i="1" s="1"/>
  <c r="L311" i="1"/>
  <c r="K311" i="1"/>
  <c r="Q310" i="1"/>
  <c r="Q310" i="1" a="1"/>
  <c r="N310" i="1"/>
  <c r="O310" i="1" s="1"/>
  <c r="P310" i="1" s="1"/>
  <c r="R310" i="1" s="1"/>
  <c r="L310" i="1"/>
  <c r="K310" i="1"/>
  <c r="R309" i="1"/>
  <c r="Q309" i="1" a="1"/>
  <c r="Q309" i="1" s="1"/>
  <c r="N309" i="1"/>
  <c r="O309" i="1" s="1"/>
  <c r="P309" i="1" s="1"/>
  <c r="L309" i="1"/>
  <c r="K309" i="1"/>
  <c r="Q308" i="1" a="1"/>
  <c r="Q308" i="1" s="1"/>
  <c r="N308" i="1"/>
  <c r="O308" i="1" s="1"/>
  <c r="P308" i="1" s="1"/>
  <c r="R308" i="1" s="1"/>
  <c r="L308" i="1"/>
  <c r="K308" i="1"/>
  <c r="Q307" i="1"/>
  <c r="Q307" i="1" a="1"/>
  <c r="N307" i="1"/>
  <c r="O307" i="1" s="1"/>
  <c r="P307" i="1" s="1"/>
  <c r="R307" i="1" s="1"/>
  <c r="L307" i="1"/>
  <c r="K307" i="1"/>
  <c r="Q306" i="1"/>
  <c r="Q306" i="1" a="1"/>
  <c r="N306" i="1"/>
  <c r="O306" i="1" s="1"/>
  <c r="P306" i="1" s="1"/>
  <c r="R306" i="1" s="1"/>
  <c r="L306" i="1"/>
  <c r="K306" i="1"/>
  <c r="R305" i="1"/>
  <c r="Q305" i="1" a="1"/>
  <c r="Q305" i="1" s="1"/>
  <c r="N305" i="1"/>
  <c r="O305" i="1" s="1"/>
  <c r="P305" i="1" s="1"/>
  <c r="L305" i="1"/>
  <c r="K305" i="1"/>
  <c r="Q304" i="1" a="1"/>
  <c r="Q304" i="1" s="1"/>
  <c r="N304" i="1"/>
  <c r="O304" i="1" s="1"/>
  <c r="P304" i="1" s="1"/>
  <c r="R304" i="1" s="1"/>
  <c r="L304" i="1"/>
  <c r="K304" i="1"/>
  <c r="Q303" i="1"/>
  <c r="Q303" i="1" a="1"/>
  <c r="N303" i="1"/>
  <c r="O303" i="1" s="1"/>
  <c r="P303" i="1" s="1"/>
  <c r="R303" i="1" s="1"/>
  <c r="L303" i="1"/>
  <c r="K303" i="1"/>
  <c r="Q302" i="1"/>
  <c r="Q302" i="1" a="1"/>
  <c r="N302" i="1"/>
  <c r="O302" i="1" s="1"/>
  <c r="P302" i="1" s="1"/>
  <c r="R302" i="1" s="1"/>
  <c r="L302" i="1"/>
  <c r="K302" i="1"/>
  <c r="R301" i="1"/>
  <c r="Q301" i="1" a="1"/>
  <c r="Q301" i="1" s="1"/>
  <c r="N301" i="1"/>
  <c r="O301" i="1" s="1"/>
  <c r="P301" i="1" s="1"/>
  <c r="L301" i="1"/>
  <c r="K301" i="1"/>
  <c r="Q300" i="1"/>
  <c r="Q300" i="1" a="1"/>
  <c r="N300" i="1"/>
  <c r="O300" i="1" s="1"/>
  <c r="P300" i="1" s="1"/>
  <c r="R300" i="1" s="1"/>
  <c r="L300" i="1"/>
  <c r="K300" i="1"/>
  <c r="Q299" i="1"/>
  <c r="Q299" i="1" a="1"/>
  <c r="N299" i="1"/>
  <c r="O299" i="1" s="1"/>
  <c r="P299" i="1" s="1"/>
  <c r="R299" i="1" s="1"/>
  <c r="L299" i="1"/>
  <c r="K299" i="1"/>
  <c r="Q298" i="1" a="1"/>
  <c r="Q298" i="1" s="1"/>
  <c r="O298" i="1"/>
  <c r="P298" i="1" s="1"/>
  <c r="R298" i="1" s="1"/>
  <c r="N298" i="1"/>
  <c r="L298" i="1"/>
  <c r="K298" i="1"/>
  <c r="Q297" i="1"/>
  <c r="Q297" i="1" a="1"/>
  <c r="N297" i="1"/>
  <c r="O297" i="1" s="1"/>
  <c r="P297" i="1" s="1"/>
  <c r="R297" i="1" s="1"/>
  <c r="L297" i="1"/>
  <c r="K297" i="1"/>
  <c r="Q296" i="1"/>
  <c r="Q296" i="1" a="1"/>
  <c r="N296" i="1"/>
  <c r="O296" i="1" s="1"/>
  <c r="P296" i="1" s="1"/>
  <c r="R296" i="1" s="1"/>
  <c r="L296" i="1"/>
  <c r="K296" i="1"/>
  <c r="R295" i="1"/>
  <c r="Q295" i="1" a="1"/>
  <c r="Q295" i="1" s="1"/>
  <c r="N295" i="1"/>
  <c r="O295" i="1" s="1"/>
  <c r="P295" i="1" s="1"/>
  <c r="L295" i="1"/>
  <c r="K295" i="1"/>
  <c r="Q294" i="1"/>
  <c r="Q294" i="1" a="1"/>
  <c r="O294" i="1"/>
  <c r="P294" i="1" s="1"/>
  <c r="R294" i="1" s="1"/>
  <c r="N294" i="1"/>
  <c r="L294" i="1"/>
  <c r="K294" i="1"/>
  <c r="Q293" i="1" a="1"/>
  <c r="Q293" i="1" s="1"/>
  <c r="O293" i="1"/>
  <c r="P293" i="1" s="1"/>
  <c r="R293" i="1" s="1"/>
  <c r="N293" i="1"/>
  <c r="L293" i="1"/>
  <c r="K293" i="1"/>
  <c r="Q292" i="1"/>
  <c r="Q292" i="1" a="1"/>
  <c r="O292" i="1"/>
  <c r="P292" i="1" s="1"/>
  <c r="R292" i="1" s="1"/>
  <c r="N292" i="1"/>
  <c r="L292" i="1"/>
  <c r="K292" i="1"/>
  <c r="Q291" i="1" a="1"/>
  <c r="Q291" i="1" s="1"/>
  <c r="N291" i="1"/>
  <c r="O291" i="1" s="1"/>
  <c r="P291" i="1" s="1"/>
  <c r="R291" i="1" s="1"/>
  <c r="L291" i="1"/>
  <c r="K291" i="1"/>
  <c r="Q290" i="1" a="1"/>
  <c r="Q290" i="1" s="1"/>
  <c r="O290" i="1"/>
  <c r="P290" i="1" s="1"/>
  <c r="R290" i="1" s="1"/>
  <c r="N290" i="1"/>
  <c r="L290" i="1"/>
  <c r="K290" i="1"/>
  <c r="Q289" i="1"/>
  <c r="Q289" i="1" a="1"/>
  <c r="N289" i="1"/>
  <c r="O289" i="1" s="1"/>
  <c r="P289" i="1" s="1"/>
  <c r="R289" i="1" s="1"/>
  <c r="L289" i="1"/>
  <c r="K289" i="1"/>
  <c r="R288" i="1"/>
  <c r="Q288" i="1" a="1"/>
  <c r="Q288" i="1" s="1"/>
  <c r="N288" i="1"/>
  <c r="O288" i="1" s="1"/>
  <c r="P288" i="1" s="1"/>
  <c r="L288" i="1"/>
  <c r="K288" i="1"/>
  <c r="R287" i="1"/>
  <c r="Q287" i="1"/>
  <c r="Q287" i="1" a="1"/>
  <c r="N287" i="1"/>
  <c r="O287" i="1" s="1"/>
  <c r="P287" i="1" s="1"/>
  <c r="L287" i="1"/>
  <c r="K287" i="1"/>
  <c r="Q286" i="1" a="1"/>
  <c r="Q286" i="1" s="1"/>
  <c r="O286" i="1"/>
  <c r="P286" i="1" s="1"/>
  <c r="R286" i="1" s="1"/>
  <c r="N286" i="1"/>
  <c r="L286" i="1"/>
  <c r="K286" i="1"/>
  <c r="Q285" i="1"/>
  <c r="Q285" i="1" a="1"/>
  <c r="O285" i="1"/>
  <c r="P285" i="1" s="1"/>
  <c r="R285" i="1" s="1"/>
  <c r="N285" i="1"/>
  <c r="L285" i="1"/>
  <c r="K285" i="1"/>
  <c r="Q284" i="1" a="1"/>
  <c r="Q284" i="1" s="1"/>
  <c r="O284" i="1"/>
  <c r="P284" i="1" s="1"/>
  <c r="R284" i="1" s="1"/>
  <c r="N284" i="1"/>
  <c r="L284" i="1"/>
  <c r="K284" i="1"/>
  <c r="Q283" i="1"/>
  <c r="Q283" i="1" a="1"/>
  <c r="N283" i="1"/>
  <c r="O283" i="1" s="1"/>
  <c r="P283" i="1" s="1"/>
  <c r="R283" i="1" s="1"/>
  <c r="L283" i="1"/>
  <c r="K283" i="1"/>
  <c r="Q282" i="1"/>
  <c r="Q282" i="1" a="1"/>
  <c r="O282" i="1"/>
  <c r="P282" i="1" s="1"/>
  <c r="R282" i="1" s="1"/>
  <c r="N282" i="1"/>
  <c r="L282" i="1"/>
  <c r="K282" i="1"/>
  <c r="Q281" i="1"/>
  <c r="Q281" i="1" a="1"/>
  <c r="N281" i="1"/>
  <c r="O281" i="1" s="1"/>
  <c r="P281" i="1" s="1"/>
  <c r="R281" i="1" s="1"/>
  <c r="L281" i="1"/>
  <c r="K281" i="1"/>
  <c r="R280" i="1"/>
  <c r="Q280" i="1"/>
  <c r="Q280" i="1" a="1"/>
  <c r="N280" i="1"/>
  <c r="O280" i="1" s="1"/>
  <c r="P280" i="1" s="1"/>
  <c r="L280" i="1"/>
  <c r="K280" i="1"/>
  <c r="R279" i="1"/>
  <c r="Q279" i="1" a="1"/>
  <c r="Q279" i="1" s="1"/>
  <c r="N279" i="1"/>
  <c r="O279" i="1" s="1"/>
  <c r="P279" i="1" s="1"/>
  <c r="L279" i="1"/>
  <c r="K279" i="1"/>
  <c r="Q278" i="1"/>
  <c r="Q278" i="1" a="1"/>
  <c r="O278" i="1"/>
  <c r="P278" i="1" s="1"/>
  <c r="R278" i="1" s="1"/>
  <c r="N278" i="1"/>
  <c r="L278" i="1"/>
  <c r="K278" i="1"/>
  <c r="Q277" i="1" a="1"/>
  <c r="Q277" i="1" s="1"/>
  <c r="O277" i="1"/>
  <c r="P277" i="1" s="1"/>
  <c r="R277" i="1" s="1"/>
  <c r="N277" i="1"/>
  <c r="L277" i="1"/>
  <c r="K277" i="1"/>
  <c r="Q276" i="1"/>
  <c r="Q276" i="1" a="1"/>
  <c r="O276" i="1"/>
  <c r="P276" i="1" s="1"/>
  <c r="R276" i="1" s="1"/>
  <c r="N276" i="1"/>
  <c r="L276" i="1"/>
  <c r="K276" i="1"/>
  <c r="Q275" i="1" a="1"/>
  <c r="Q275" i="1" s="1"/>
  <c r="N275" i="1"/>
  <c r="O275" i="1" s="1"/>
  <c r="P275" i="1" s="1"/>
  <c r="R275" i="1" s="1"/>
  <c r="L275" i="1"/>
  <c r="K275" i="1"/>
  <c r="Q274" i="1"/>
  <c r="Q274" i="1" a="1"/>
  <c r="O274" i="1"/>
  <c r="P274" i="1" s="1"/>
  <c r="R274" i="1" s="1"/>
  <c r="N274" i="1"/>
  <c r="L274" i="1"/>
  <c r="K274" i="1"/>
  <c r="Q273" i="1"/>
  <c r="Q273" i="1" a="1"/>
  <c r="N273" i="1"/>
  <c r="O273" i="1" s="1"/>
  <c r="P273" i="1" s="1"/>
  <c r="R273" i="1" s="1"/>
  <c r="L273" i="1"/>
  <c r="K273" i="1"/>
  <c r="R272" i="1"/>
  <c r="Q272" i="1" a="1"/>
  <c r="Q272" i="1" s="1"/>
  <c r="N272" i="1"/>
  <c r="O272" i="1" s="1"/>
  <c r="P272" i="1" s="1"/>
  <c r="L272" i="1"/>
  <c r="K272" i="1"/>
  <c r="Q271" i="1"/>
  <c r="Q271" i="1" a="1"/>
  <c r="N271" i="1"/>
  <c r="O271" i="1" s="1"/>
  <c r="P271" i="1" s="1"/>
  <c r="R271" i="1" s="1"/>
  <c r="L271" i="1"/>
  <c r="K271" i="1"/>
  <c r="Q270" i="1"/>
  <c r="Q270" i="1" a="1"/>
  <c r="O270" i="1"/>
  <c r="P270" i="1" s="1"/>
  <c r="R270" i="1" s="1"/>
  <c r="N270" i="1"/>
  <c r="L270" i="1"/>
  <c r="K270" i="1"/>
  <c r="Q269" i="1" a="1"/>
  <c r="Q269" i="1" s="1"/>
  <c r="O269" i="1"/>
  <c r="P269" i="1" s="1"/>
  <c r="R269" i="1" s="1"/>
  <c r="N269" i="1"/>
  <c r="L269" i="1"/>
  <c r="K269" i="1"/>
  <c r="Q268" i="1"/>
  <c r="Q268" i="1" a="1"/>
  <c r="N268" i="1"/>
  <c r="O268" i="1" s="1"/>
  <c r="P268" i="1" s="1"/>
  <c r="R268" i="1" s="1"/>
  <c r="L268" i="1"/>
  <c r="K268" i="1"/>
  <c r="Q267" i="1" a="1"/>
  <c r="Q267" i="1" s="1"/>
  <c r="N267" i="1"/>
  <c r="O267" i="1" s="1"/>
  <c r="P267" i="1" s="1"/>
  <c r="R267" i="1" s="1"/>
  <c r="L267" i="1"/>
  <c r="K267" i="1"/>
  <c r="Q266" i="1" a="1"/>
  <c r="Q266" i="1" s="1"/>
  <c r="O266" i="1"/>
  <c r="P266" i="1" s="1"/>
  <c r="R266" i="1" s="1"/>
  <c r="N266" i="1"/>
  <c r="L266" i="1"/>
  <c r="K266" i="1"/>
  <c r="Q265" i="1"/>
  <c r="Q265" i="1" a="1"/>
  <c r="N265" i="1"/>
  <c r="O265" i="1" s="1"/>
  <c r="P265" i="1" s="1"/>
  <c r="R265" i="1" s="1"/>
  <c r="L265" i="1"/>
  <c r="K265" i="1"/>
  <c r="Q264" i="1" a="1"/>
  <c r="Q264" i="1" s="1"/>
  <c r="N264" i="1"/>
  <c r="O264" i="1" s="1"/>
  <c r="P264" i="1" s="1"/>
  <c r="R264" i="1" s="1"/>
  <c r="L264" i="1"/>
  <c r="K264" i="1"/>
  <c r="R263" i="1"/>
  <c r="Q263" i="1"/>
  <c r="Q263" i="1" a="1"/>
  <c r="N263" i="1"/>
  <c r="O263" i="1" s="1"/>
  <c r="P263" i="1" s="1"/>
  <c r="L263" i="1"/>
  <c r="K263" i="1"/>
  <c r="Q262" i="1"/>
  <c r="Q262" i="1" a="1"/>
  <c r="O262" i="1"/>
  <c r="P262" i="1" s="1"/>
  <c r="R262" i="1" s="1"/>
  <c r="N262" i="1"/>
  <c r="L262" i="1"/>
  <c r="K262" i="1"/>
  <c r="Q261" i="1"/>
  <c r="Q261" i="1" a="1"/>
  <c r="O261" i="1"/>
  <c r="P261" i="1" s="1"/>
  <c r="R261" i="1" s="1"/>
  <c r="N261" i="1"/>
  <c r="L261" i="1"/>
  <c r="K261" i="1"/>
  <c r="Q260" i="1"/>
  <c r="Q260" i="1" a="1"/>
  <c r="N260" i="1"/>
  <c r="O260" i="1" s="1"/>
  <c r="P260" i="1" s="1"/>
  <c r="R260" i="1" s="1"/>
  <c r="L260" i="1"/>
  <c r="K260" i="1"/>
  <c r="Q259" i="1"/>
  <c r="Q259" i="1" a="1"/>
  <c r="N259" i="1"/>
  <c r="O259" i="1" s="1"/>
  <c r="P259" i="1" s="1"/>
  <c r="R259" i="1" s="1"/>
  <c r="L259" i="1"/>
  <c r="K259" i="1"/>
  <c r="Q258" i="1"/>
  <c r="Q258" i="1" a="1"/>
  <c r="O258" i="1"/>
  <c r="P258" i="1" s="1"/>
  <c r="R258" i="1" s="1"/>
  <c r="N258" i="1"/>
  <c r="L258" i="1"/>
  <c r="K258" i="1"/>
  <c r="Q257" i="1"/>
  <c r="Q257" i="1" a="1"/>
  <c r="N257" i="1"/>
  <c r="O257" i="1" s="1"/>
  <c r="P257" i="1" s="1"/>
  <c r="R257" i="1" s="1"/>
  <c r="L257" i="1"/>
  <c r="K257" i="1"/>
  <c r="R256" i="1"/>
  <c r="Q256" i="1" a="1"/>
  <c r="Q256" i="1" s="1"/>
  <c r="N256" i="1"/>
  <c r="O256" i="1" s="1"/>
  <c r="P256" i="1" s="1"/>
  <c r="L256" i="1"/>
  <c r="K256" i="1"/>
  <c r="R255" i="1"/>
  <c r="Q255" i="1"/>
  <c r="Q255" i="1" a="1"/>
  <c r="N255" i="1"/>
  <c r="O255" i="1" s="1"/>
  <c r="P255" i="1" s="1"/>
  <c r="L255" i="1"/>
  <c r="K255" i="1"/>
  <c r="Q254" i="1" a="1"/>
  <c r="Q254" i="1" s="1"/>
  <c r="O254" i="1"/>
  <c r="P254" i="1" s="1"/>
  <c r="R254" i="1" s="1"/>
  <c r="N254" i="1"/>
  <c r="L254" i="1"/>
  <c r="K254" i="1"/>
  <c r="Q253" i="1"/>
  <c r="Q253" i="1" a="1"/>
  <c r="O253" i="1"/>
  <c r="P253" i="1" s="1"/>
  <c r="R253" i="1" s="1"/>
  <c r="N253" i="1"/>
  <c r="L253" i="1"/>
  <c r="K253" i="1"/>
  <c r="Q252" i="1"/>
  <c r="Q252" i="1" a="1"/>
  <c r="O252" i="1"/>
  <c r="P252" i="1" s="1"/>
  <c r="R252" i="1" s="1"/>
  <c r="N252" i="1"/>
  <c r="L252" i="1"/>
  <c r="K252" i="1"/>
  <c r="Q251" i="1"/>
  <c r="Q251" i="1" a="1"/>
  <c r="N251" i="1"/>
  <c r="O251" i="1" s="1"/>
  <c r="P251" i="1" s="1"/>
  <c r="R251" i="1" s="1"/>
  <c r="L251" i="1"/>
  <c r="K251" i="1"/>
  <c r="Q250" i="1"/>
  <c r="Q250" i="1" a="1"/>
  <c r="O250" i="1"/>
  <c r="P250" i="1" s="1"/>
  <c r="R250" i="1" s="1"/>
  <c r="N250" i="1"/>
  <c r="L250" i="1"/>
  <c r="K250" i="1"/>
  <c r="Q249" i="1" a="1"/>
  <c r="Q249" i="1" s="1"/>
  <c r="N249" i="1"/>
  <c r="O249" i="1" s="1"/>
  <c r="P249" i="1" s="1"/>
  <c r="R249" i="1" s="1"/>
  <c r="L249" i="1"/>
  <c r="K249" i="1"/>
  <c r="R248" i="1"/>
  <c r="Q248" i="1"/>
  <c r="Q248" i="1" a="1"/>
  <c r="N248" i="1"/>
  <c r="O248" i="1" s="1"/>
  <c r="P248" i="1" s="1"/>
  <c r="L248" i="1"/>
  <c r="K248" i="1"/>
  <c r="Q247" i="1" a="1"/>
  <c r="Q247" i="1" s="1"/>
  <c r="N247" i="1"/>
  <c r="O247" i="1" s="1"/>
  <c r="P247" i="1" s="1"/>
  <c r="R247" i="1" s="1"/>
  <c r="L247" i="1"/>
  <c r="K247" i="1"/>
  <c r="Q246" i="1" a="1"/>
  <c r="Q246" i="1" s="1"/>
  <c r="O246" i="1"/>
  <c r="P246" i="1" s="1"/>
  <c r="R246" i="1" s="1"/>
  <c r="N246" i="1"/>
  <c r="L246" i="1"/>
  <c r="K246" i="1"/>
  <c r="Q245" i="1"/>
  <c r="Q245" i="1" a="1"/>
  <c r="O245" i="1"/>
  <c r="P245" i="1" s="1"/>
  <c r="R245" i="1" s="1"/>
  <c r="N245" i="1"/>
  <c r="L245" i="1"/>
  <c r="K245" i="1"/>
  <c r="Q244" i="1"/>
  <c r="Q244" i="1" a="1"/>
  <c r="O244" i="1"/>
  <c r="P244" i="1" s="1"/>
  <c r="R244" i="1" s="1"/>
  <c r="N244" i="1"/>
  <c r="L244" i="1"/>
  <c r="K244" i="1"/>
  <c r="Q243" i="1" a="1"/>
  <c r="Q243" i="1" s="1"/>
  <c r="N243" i="1"/>
  <c r="O243" i="1" s="1"/>
  <c r="P243" i="1" s="1"/>
  <c r="R243" i="1" s="1"/>
  <c r="L243" i="1"/>
  <c r="K243" i="1"/>
  <c r="Q242" i="1" a="1"/>
  <c r="Q242" i="1" s="1"/>
  <c r="O242" i="1"/>
  <c r="P242" i="1" s="1"/>
  <c r="R242" i="1" s="1"/>
  <c r="N242" i="1"/>
  <c r="L242" i="1"/>
  <c r="K242" i="1"/>
  <c r="Q241" i="1"/>
  <c r="Q241" i="1" a="1"/>
  <c r="N241" i="1"/>
  <c r="O241" i="1" s="1"/>
  <c r="P241" i="1" s="1"/>
  <c r="R241" i="1" s="1"/>
  <c r="L241" i="1"/>
  <c r="K241" i="1"/>
  <c r="Q240" i="1" a="1"/>
  <c r="Q240" i="1" s="1"/>
  <c r="N240" i="1"/>
  <c r="O240" i="1" s="1"/>
  <c r="P240" i="1" s="1"/>
  <c r="R240" i="1" s="1"/>
  <c r="L240" i="1"/>
  <c r="K240" i="1"/>
  <c r="Q239" i="1" a="1"/>
  <c r="Q239" i="1" s="1"/>
  <c r="N239" i="1"/>
  <c r="O239" i="1" s="1"/>
  <c r="P239" i="1" s="1"/>
  <c r="R239" i="1" s="1"/>
  <c r="L239" i="1"/>
  <c r="K239" i="1"/>
  <c r="Q238" i="1"/>
  <c r="Q238" i="1" a="1"/>
  <c r="O238" i="1"/>
  <c r="P238" i="1" s="1"/>
  <c r="R238" i="1" s="1"/>
  <c r="N238" i="1"/>
  <c r="L238" i="1"/>
  <c r="K238" i="1"/>
  <c r="Q237" i="1" a="1"/>
  <c r="Q237" i="1" s="1"/>
  <c r="O237" i="1"/>
  <c r="P237" i="1" s="1"/>
  <c r="R237" i="1" s="1"/>
  <c r="N237" i="1"/>
  <c r="L237" i="1"/>
  <c r="K237" i="1"/>
  <c r="Q236" i="1" a="1"/>
  <c r="Q236" i="1" s="1"/>
  <c r="N236" i="1"/>
  <c r="O236" i="1" s="1"/>
  <c r="P236" i="1" s="1"/>
  <c r="R236" i="1" s="1"/>
  <c r="L236" i="1"/>
  <c r="K236" i="1"/>
  <c r="Q235" i="1"/>
  <c r="Q235" i="1" a="1"/>
  <c r="N235" i="1"/>
  <c r="O235" i="1" s="1"/>
  <c r="P235" i="1" s="1"/>
  <c r="R235" i="1" s="1"/>
  <c r="L235" i="1"/>
  <c r="K235" i="1"/>
  <c r="Q234" i="1" a="1"/>
  <c r="Q234" i="1" s="1"/>
  <c r="O234" i="1"/>
  <c r="P234" i="1" s="1"/>
  <c r="R234" i="1" s="1"/>
  <c r="N234" i="1"/>
  <c r="L234" i="1"/>
  <c r="K234" i="1"/>
  <c r="Q233" i="1" a="1"/>
  <c r="Q233" i="1" s="1"/>
  <c r="N233" i="1"/>
  <c r="O233" i="1" s="1"/>
  <c r="P233" i="1" s="1"/>
  <c r="R233" i="1" s="1"/>
  <c r="L233" i="1"/>
  <c r="K233" i="1"/>
  <c r="R232" i="1"/>
  <c r="Q232" i="1"/>
  <c r="Q232" i="1" a="1"/>
  <c r="O232" i="1"/>
  <c r="P232" i="1" s="1"/>
  <c r="N232" i="1"/>
  <c r="L232" i="1"/>
  <c r="K232" i="1"/>
  <c r="Q231" i="1"/>
  <c r="Q231" i="1" a="1"/>
  <c r="N231" i="1"/>
  <c r="O231" i="1" s="1"/>
  <c r="P231" i="1" s="1"/>
  <c r="R231" i="1" s="1"/>
  <c r="L231" i="1"/>
  <c r="K231" i="1"/>
  <c r="Q230" i="1"/>
  <c r="Q230" i="1" a="1"/>
  <c r="O230" i="1"/>
  <c r="P230" i="1" s="1"/>
  <c r="R230" i="1" s="1"/>
  <c r="N230" i="1"/>
  <c r="L230" i="1"/>
  <c r="K230" i="1"/>
  <c r="Q229" i="1" a="1"/>
  <c r="Q229" i="1" s="1"/>
  <c r="O229" i="1"/>
  <c r="P229" i="1" s="1"/>
  <c r="R229" i="1" s="1"/>
  <c r="N229" i="1"/>
  <c r="L229" i="1"/>
  <c r="K229" i="1"/>
  <c r="Q228" i="1"/>
  <c r="Q228" i="1" a="1"/>
  <c r="O228" i="1"/>
  <c r="P228" i="1" s="1"/>
  <c r="R228" i="1" s="1"/>
  <c r="N228" i="1"/>
  <c r="L228" i="1"/>
  <c r="K228" i="1"/>
  <c r="Q227" i="1" a="1"/>
  <c r="Q227" i="1" s="1"/>
  <c r="N227" i="1"/>
  <c r="O227" i="1" s="1"/>
  <c r="P227" i="1" s="1"/>
  <c r="R227" i="1" s="1"/>
  <c r="L227" i="1"/>
  <c r="K227" i="1"/>
  <c r="Q226" i="1" a="1"/>
  <c r="Q226" i="1" s="1"/>
  <c r="O226" i="1"/>
  <c r="P226" i="1" s="1"/>
  <c r="R226" i="1" s="1"/>
  <c r="N226" i="1"/>
  <c r="L226" i="1"/>
  <c r="K226" i="1"/>
  <c r="Q225" i="1"/>
  <c r="Q225" i="1" a="1"/>
  <c r="N225" i="1"/>
  <c r="O225" i="1" s="1"/>
  <c r="P225" i="1" s="1"/>
  <c r="R225" i="1" s="1"/>
  <c r="L225" i="1"/>
  <c r="K225" i="1"/>
  <c r="Q224" i="1" a="1"/>
  <c r="Q224" i="1" s="1"/>
  <c r="N224" i="1"/>
  <c r="O224" i="1" s="1"/>
  <c r="P224" i="1" s="1"/>
  <c r="R224" i="1" s="1"/>
  <c r="L224" i="1"/>
  <c r="K224" i="1"/>
  <c r="R223" i="1"/>
  <c r="Q223" i="1"/>
  <c r="Q223" i="1" a="1"/>
  <c r="N223" i="1"/>
  <c r="O223" i="1" s="1"/>
  <c r="P223" i="1" s="1"/>
  <c r="L223" i="1"/>
  <c r="K223" i="1"/>
  <c r="R222" i="1"/>
  <c r="Q222" i="1" a="1"/>
  <c r="Q222" i="1" s="1"/>
  <c r="N222" i="1"/>
  <c r="O222" i="1" s="1"/>
  <c r="P222" i="1" s="1"/>
  <c r="L222" i="1"/>
  <c r="K222" i="1"/>
  <c r="Q221" i="1"/>
  <c r="Q221" i="1" a="1"/>
  <c r="N221" i="1"/>
  <c r="O221" i="1" s="1"/>
  <c r="P221" i="1" s="1"/>
  <c r="R221" i="1" s="1"/>
  <c r="L221" i="1"/>
  <c r="K221" i="1"/>
  <c r="Q220" i="1"/>
  <c r="Q220" i="1" a="1"/>
  <c r="N220" i="1"/>
  <c r="O220" i="1" s="1"/>
  <c r="P220" i="1" s="1"/>
  <c r="R220" i="1" s="1"/>
  <c r="L220" i="1"/>
  <c r="K220" i="1"/>
  <c r="R219" i="1"/>
  <c r="Q219" i="1" a="1"/>
  <c r="Q219" i="1" s="1"/>
  <c r="N219" i="1"/>
  <c r="O219" i="1" s="1"/>
  <c r="P219" i="1" s="1"/>
  <c r="L219" i="1"/>
  <c r="K219" i="1"/>
  <c r="R218" i="1"/>
  <c r="Q218" i="1"/>
  <c r="Q218" i="1" a="1"/>
  <c r="N218" i="1"/>
  <c r="O218" i="1" s="1"/>
  <c r="P218" i="1" s="1"/>
  <c r="L218" i="1"/>
  <c r="K218" i="1"/>
  <c r="Q217" i="1" a="1"/>
  <c r="Q217" i="1" s="1"/>
  <c r="N217" i="1"/>
  <c r="O217" i="1" s="1"/>
  <c r="P217" i="1" s="1"/>
  <c r="R217" i="1" s="1"/>
  <c r="L217" i="1"/>
  <c r="K217" i="1"/>
  <c r="Q216" i="1" a="1"/>
  <c r="Q216" i="1" s="1"/>
  <c r="N216" i="1"/>
  <c r="O216" i="1" s="1"/>
  <c r="P216" i="1" s="1"/>
  <c r="R216" i="1" s="1"/>
  <c r="L216" i="1"/>
  <c r="K216" i="1"/>
  <c r="R215" i="1"/>
  <c r="Q215" i="1" a="1"/>
  <c r="Q215" i="1" s="1"/>
  <c r="N215" i="1"/>
  <c r="O215" i="1" s="1"/>
  <c r="P215" i="1" s="1"/>
  <c r="L215" i="1"/>
  <c r="K215" i="1"/>
  <c r="Q214" i="1" a="1"/>
  <c r="Q214" i="1" s="1"/>
  <c r="N214" i="1"/>
  <c r="O214" i="1" s="1"/>
  <c r="P214" i="1" s="1"/>
  <c r="R214" i="1" s="1"/>
  <c r="L214" i="1"/>
  <c r="K214" i="1"/>
  <c r="Q213" i="1" a="1"/>
  <c r="Q213" i="1" s="1"/>
  <c r="N213" i="1"/>
  <c r="O213" i="1" s="1"/>
  <c r="P213" i="1" s="1"/>
  <c r="R213" i="1" s="1"/>
  <c r="L213" i="1"/>
  <c r="K213" i="1"/>
  <c r="Q212" i="1"/>
  <c r="Q212" i="1" a="1"/>
  <c r="N212" i="1"/>
  <c r="O212" i="1" s="1"/>
  <c r="P212" i="1" s="1"/>
  <c r="R212" i="1" s="1"/>
  <c r="L212" i="1"/>
  <c r="K212" i="1"/>
  <c r="R211" i="1"/>
  <c r="Q211" i="1" a="1"/>
  <c r="Q211" i="1" s="1"/>
  <c r="N211" i="1"/>
  <c r="O211" i="1" s="1"/>
  <c r="P211" i="1" s="1"/>
  <c r="L211" i="1"/>
  <c r="K211" i="1"/>
  <c r="Q210" i="1" a="1"/>
  <c r="Q210" i="1" s="1"/>
  <c r="N210" i="1"/>
  <c r="O210" i="1" s="1"/>
  <c r="P210" i="1" s="1"/>
  <c r="R210" i="1" s="1"/>
  <c r="L210" i="1"/>
  <c r="K210" i="1"/>
  <c r="Q209" i="1"/>
  <c r="Q209" i="1" a="1"/>
  <c r="N209" i="1"/>
  <c r="O209" i="1" s="1"/>
  <c r="P209" i="1" s="1"/>
  <c r="R209" i="1" s="1"/>
  <c r="L209" i="1"/>
  <c r="K209" i="1"/>
  <c r="Q208" i="1"/>
  <c r="Q208" i="1" a="1"/>
  <c r="N208" i="1"/>
  <c r="O208" i="1" s="1"/>
  <c r="P208" i="1" s="1"/>
  <c r="R208" i="1" s="1"/>
  <c r="L208" i="1"/>
  <c r="K208" i="1"/>
  <c r="R207" i="1"/>
  <c r="Q207" i="1" a="1"/>
  <c r="Q207" i="1" s="1"/>
  <c r="N207" i="1"/>
  <c r="O207" i="1" s="1"/>
  <c r="P207" i="1" s="1"/>
  <c r="L207" i="1"/>
  <c r="K207" i="1"/>
  <c r="R206" i="1"/>
  <c r="Q206" i="1"/>
  <c r="Q206" i="1" a="1"/>
  <c r="N206" i="1"/>
  <c r="O206" i="1" s="1"/>
  <c r="P206" i="1" s="1"/>
  <c r="L206" i="1"/>
  <c r="K206" i="1"/>
  <c r="Q205" i="1" a="1"/>
  <c r="Q205" i="1" s="1"/>
  <c r="N205" i="1"/>
  <c r="O205" i="1" s="1"/>
  <c r="P205" i="1" s="1"/>
  <c r="R205" i="1" s="1"/>
  <c r="L205" i="1"/>
  <c r="K205" i="1"/>
  <c r="Q204" i="1" a="1"/>
  <c r="Q204" i="1" s="1"/>
  <c r="N204" i="1"/>
  <c r="O204" i="1" s="1"/>
  <c r="P204" i="1" s="1"/>
  <c r="R204" i="1" s="1"/>
  <c r="L204" i="1"/>
  <c r="K204" i="1"/>
  <c r="R203" i="1"/>
  <c r="Q203" i="1"/>
  <c r="Q203" i="1" a="1"/>
  <c r="N203" i="1"/>
  <c r="O203" i="1" s="1"/>
  <c r="P203" i="1" s="1"/>
  <c r="L203" i="1"/>
  <c r="K203" i="1"/>
  <c r="Q202" i="1" a="1"/>
  <c r="Q202" i="1" s="1"/>
  <c r="N202" i="1"/>
  <c r="O202" i="1" s="1"/>
  <c r="P202" i="1" s="1"/>
  <c r="R202" i="1" s="1"/>
  <c r="L202" i="1"/>
  <c r="K202" i="1"/>
  <c r="Q201" i="1" a="1"/>
  <c r="Q201" i="1" s="1"/>
  <c r="N201" i="1"/>
  <c r="O201" i="1" s="1"/>
  <c r="P201" i="1" s="1"/>
  <c r="R201" i="1" s="1"/>
  <c r="L201" i="1"/>
  <c r="K201" i="1"/>
  <c r="Q200" i="1" a="1"/>
  <c r="Q200" i="1" s="1"/>
  <c r="N200" i="1"/>
  <c r="O200" i="1" s="1"/>
  <c r="P200" i="1" s="1"/>
  <c r="R200" i="1" s="1"/>
  <c r="L200" i="1"/>
  <c r="K200" i="1"/>
  <c r="R199" i="1"/>
  <c r="Q199" i="1" a="1"/>
  <c r="Q199" i="1" s="1"/>
  <c r="N199" i="1"/>
  <c r="O199" i="1" s="1"/>
  <c r="P199" i="1" s="1"/>
  <c r="L199" i="1"/>
  <c r="K199" i="1"/>
  <c r="Q198" i="1" a="1"/>
  <c r="Q198" i="1" s="1"/>
  <c r="N198" i="1"/>
  <c r="O198" i="1" s="1"/>
  <c r="P198" i="1" s="1"/>
  <c r="R198" i="1" s="1"/>
  <c r="L198" i="1"/>
  <c r="K198" i="1"/>
  <c r="Q197" i="1" a="1"/>
  <c r="Q197" i="1" s="1"/>
  <c r="N197" i="1"/>
  <c r="O197" i="1" s="1"/>
  <c r="P197" i="1" s="1"/>
  <c r="R197" i="1" s="1"/>
  <c r="L197" i="1"/>
  <c r="K197" i="1"/>
  <c r="Q196" i="1"/>
  <c r="Q196" i="1" a="1"/>
  <c r="N196" i="1"/>
  <c r="O196" i="1" s="1"/>
  <c r="P196" i="1" s="1"/>
  <c r="R196" i="1" s="1"/>
  <c r="L196" i="1"/>
  <c r="K196" i="1"/>
  <c r="R195" i="1"/>
  <c r="Q195" i="1" a="1"/>
  <c r="Q195" i="1" s="1"/>
  <c r="N195" i="1"/>
  <c r="O195" i="1" s="1"/>
  <c r="P195" i="1" s="1"/>
  <c r="L195" i="1"/>
  <c r="K195" i="1"/>
  <c r="Q194" i="1" a="1"/>
  <c r="Q194" i="1" s="1"/>
  <c r="N194" i="1"/>
  <c r="O194" i="1" s="1"/>
  <c r="P194" i="1" s="1"/>
  <c r="R194" i="1" s="1"/>
  <c r="L194" i="1"/>
  <c r="K194" i="1"/>
  <c r="Q193" i="1"/>
  <c r="Q193" i="1" a="1"/>
  <c r="N193" i="1"/>
  <c r="O193" i="1" s="1"/>
  <c r="P193" i="1" s="1"/>
  <c r="R193" i="1" s="1"/>
  <c r="L193" i="1"/>
  <c r="K193" i="1"/>
  <c r="Q192" i="1"/>
  <c r="Q192" i="1" a="1"/>
  <c r="N192" i="1"/>
  <c r="O192" i="1" s="1"/>
  <c r="P192" i="1" s="1"/>
  <c r="R192" i="1" s="1"/>
  <c r="L192" i="1"/>
  <c r="K192" i="1"/>
  <c r="R191" i="1"/>
  <c r="Q191" i="1" a="1"/>
  <c r="Q191" i="1" s="1"/>
  <c r="N191" i="1"/>
  <c r="O191" i="1" s="1"/>
  <c r="P191" i="1" s="1"/>
  <c r="L191" i="1"/>
  <c r="K191" i="1"/>
  <c r="R190" i="1"/>
  <c r="Q190" i="1" a="1"/>
  <c r="Q190" i="1" s="1"/>
  <c r="N190" i="1"/>
  <c r="O190" i="1" s="1"/>
  <c r="P190" i="1" s="1"/>
  <c r="L190" i="1"/>
  <c r="K190" i="1"/>
  <c r="Q189" i="1" a="1"/>
  <c r="Q189" i="1" s="1"/>
  <c r="N189" i="1"/>
  <c r="O189" i="1" s="1"/>
  <c r="P189" i="1" s="1"/>
  <c r="R189" i="1" s="1"/>
  <c r="L189" i="1"/>
  <c r="K189" i="1"/>
  <c r="Q188" i="1" a="1"/>
  <c r="Q188" i="1" s="1"/>
  <c r="N188" i="1"/>
  <c r="O188" i="1" s="1"/>
  <c r="P188" i="1" s="1"/>
  <c r="R188" i="1" s="1"/>
  <c r="L188" i="1"/>
  <c r="K188" i="1"/>
  <c r="R187" i="1"/>
  <c r="Q187" i="1" a="1"/>
  <c r="Q187" i="1" s="1"/>
  <c r="N187" i="1"/>
  <c r="O187" i="1" s="1"/>
  <c r="P187" i="1" s="1"/>
  <c r="L187" i="1"/>
  <c r="K187" i="1"/>
  <c r="Q186" i="1" a="1"/>
  <c r="Q186" i="1" s="1"/>
  <c r="N186" i="1"/>
  <c r="O186" i="1" s="1"/>
  <c r="P186" i="1" s="1"/>
  <c r="R186" i="1" s="1"/>
  <c r="L186" i="1"/>
  <c r="K186" i="1"/>
  <c r="Q185" i="1" a="1"/>
  <c r="Q185" i="1" s="1"/>
  <c r="N185" i="1"/>
  <c r="O185" i="1" s="1"/>
  <c r="P185" i="1" s="1"/>
  <c r="R185" i="1" s="1"/>
  <c r="L185" i="1"/>
  <c r="K185" i="1"/>
  <c r="Q184" i="1"/>
  <c r="Q184" i="1" a="1"/>
  <c r="N184" i="1"/>
  <c r="O184" i="1" s="1"/>
  <c r="P184" i="1" s="1"/>
  <c r="R184" i="1" s="1"/>
  <c r="L184" i="1"/>
  <c r="K184" i="1"/>
  <c r="R183" i="1"/>
  <c r="Q183" i="1" a="1"/>
  <c r="Q183" i="1" s="1"/>
  <c r="N183" i="1"/>
  <c r="O183" i="1" s="1"/>
  <c r="P183" i="1" s="1"/>
  <c r="L183" i="1"/>
  <c r="K183" i="1"/>
  <c r="Q182" i="1" a="1"/>
  <c r="Q182" i="1" s="1"/>
  <c r="N182" i="1"/>
  <c r="O182" i="1" s="1"/>
  <c r="P182" i="1" s="1"/>
  <c r="R182" i="1" s="1"/>
  <c r="L182" i="1"/>
  <c r="K182" i="1"/>
  <c r="Q181" i="1"/>
  <c r="Q181" i="1" a="1"/>
  <c r="N181" i="1"/>
  <c r="O181" i="1" s="1"/>
  <c r="P181" i="1" s="1"/>
  <c r="R181" i="1" s="1"/>
  <c r="L181" i="1"/>
  <c r="K181" i="1"/>
  <c r="Q180" i="1"/>
  <c r="Q180" i="1" a="1"/>
  <c r="N180" i="1"/>
  <c r="O180" i="1" s="1"/>
  <c r="P180" i="1" s="1"/>
  <c r="R180" i="1" s="1"/>
  <c r="L180" i="1"/>
  <c r="K180" i="1"/>
  <c r="R179" i="1"/>
  <c r="Q179" i="1" a="1"/>
  <c r="Q179" i="1" s="1"/>
  <c r="N179" i="1"/>
  <c r="O179" i="1" s="1"/>
  <c r="P179" i="1" s="1"/>
  <c r="L179" i="1"/>
  <c r="K179" i="1"/>
  <c r="Q178" i="1"/>
  <c r="Q178" i="1" a="1"/>
  <c r="N178" i="1"/>
  <c r="O178" i="1" s="1"/>
  <c r="P178" i="1" s="1"/>
  <c r="R178" i="1" s="1"/>
  <c r="L178" i="1"/>
  <c r="K178" i="1"/>
  <c r="Q177" i="1"/>
  <c r="Q177" i="1" a="1"/>
  <c r="N177" i="1"/>
  <c r="O177" i="1" s="1"/>
  <c r="P177" i="1" s="1"/>
  <c r="R177" i="1" s="1"/>
  <c r="L177" i="1"/>
  <c r="K177" i="1"/>
  <c r="Q176" i="1"/>
  <c r="Q176" i="1" a="1"/>
  <c r="N176" i="1"/>
  <c r="O176" i="1" s="1"/>
  <c r="P176" i="1" s="1"/>
  <c r="R176" i="1" s="1"/>
  <c r="L176" i="1"/>
  <c r="K176" i="1"/>
  <c r="R175" i="1"/>
  <c r="Q175" i="1"/>
  <c r="Q175" i="1" a="1"/>
  <c r="N175" i="1"/>
  <c r="O175" i="1" s="1"/>
  <c r="P175" i="1" s="1"/>
  <c r="L175" i="1"/>
  <c r="K175" i="1"/>
  <c r="R174" i="1"/>
  <c r="Q174" i="1" a="1"/>
  <c r="Q174" i="1" s="1"/>
  <c r="P174" i="1"/>
  <c r="N174" i="1"/>
  <c r="O174" i="1" s="1"/>
  <c r="L174" i="1"/>
  <c r="K174" i="1"/>
  <c r="R173" i="1"/>
  <c r="Q173" i="1"/>
  <c r="Q173" i="1" a="1"/>
  <c r="N173" i="1"/>
  <c r="O173" i="1" s="1"/>
  <c r="P173" i="1" s="1"/>
  <c r="L173" i="1"/>
  <c r="K173" i="1"/>
  <c r="Q172" i="1"/>
  <c r="Q172" i="1" a="1"/>
  <c r="N172" i="1"/>
  <c r="O172" i="1" s="1"/>
  <c r="P172" i="1" s="1"/>
  <c r="R172" i="1" s="1"/>
  <c r="L172" i="1"/>
  <c r="K172" i="1"/>
  <c r="R171" i="1"/>
  <c r="Q171" i="1"/>
  <c r="Q171" i="1" a="1"/>
  <c r="N171" i="1"/>
  <c r="O171" i="1" s="1"/>
  <c r="P171" i="1" s="1"/>
  <c r="L171" i="1"/>
  <c r="K171" i="1"/>
  <c r="R170" i="1"/>
  <c r="Q170" i="1" a="1"/>
  <c r="Q170" i="1" s="1"/>
  <c r="N170" i="1"/>
  <c r="O170" i="1" s="1"/>
  <c r="P170" i="1" s="1"/>
  <c r="L170" i="1"/>
  <c r="K170" i="1"/>
  <c r="Q169" i="1" a="1"/>
  <c r="Q169" i="1" s="1"/>
  <c r="N169" i="1"/>
  <c r="O169" i="1" s="1"/>
  <c r="P169" i="1" s="1"/>
  <c r="R169" i="1" s="1"/>
  <c r="L169" i="1"/>
  <c r="K169" i="1"/>
  <c r="Q168" i="1"/>
  <c r="Q168" i="1" a="1"/>
  <c r="N168" i="1"/>
  <c r="O168" i="1" s="1"/>
  <c r="P168" i="1" s="1"/>
  <c r="R168" i="1" s="1"/>
  <c r="L168" i="1"/>
  <c r="K168" i="1"/>
  <c r="R167" i="1"/>
  <c r="Q167" i="1" a="1"/>
  <c r="Q167" i="1" s="1"/>
  <c r="N167" i="1"/>
  <c r="O167" i="1" s="1"/>
  <c r="P167" i="1" s="1"/>
  <c r="L167" i="1"/>
  <c r="K167" i="1"/>
  <c r="R166" i="1"/>
  <c r="Q166" i="1"/>
  <c r="Q166" i="1" a="1"/>
  <c r="N166" i="1"/>
  <c r="O166" i="1" s="1"/>
  <c r="P166" i="1" s="1"/>
  <c r="L166" i="1"/>
  <c r="K166" i="1"/>
  <c r="Q165" i="1"/>
  <c r="Q165" i="1" a="1"/>
  <c r="N165" i="1"/>
  <c r="O165" i="1" s="1"/>
  <c r="P165" i="1" s="1"/>
  <c r="R165" i="1" s="1"/>
  <c r="L165" i="1"/>
  <c r="K165" i="1"/>
  <c r="Q164" i="1" a="1"/>
  <c r="Q164" i="1" s="1"/>
  <c r="N164" i="1"/>
  <c r="O164" i="1" s="1"/>
  <c r="P164" i="1" s="1"/>
  <c r="R164" i="1" s="1"/>
  <c r="L164" i="1"/>
  <c r="K164" i="1"/>
  <c r="Q163" i="1" a="1"/>
  <c r="Q163" i="1" s="1"/>
  <c r="O163" i="1"/>
  <c r="P163" i="1" s="1"/>
  <c r="R163" i="1" s="1"/>
  <c r="N163" i="1"/>
  <c r="L163" i="1"/>
  <c r="K163" i="1"/>
  <c r="Q162" i="1"/>
  <c r="Q162" i="1" a="1"/>
  <c r="O162" i="1"/>
  <c r="P162" i="1" s="1"/>
  <c r="R162" i="1" s="1"/>
  <c r="N162" i="1"/>
  <c r="L162" i="1"/>
  <c r="K162" i="1"/>
  <c r="Q161" i="1" a="1"/>
  <c r="Q161" i="1" s="1"/>
  <c r="N161" i="1"/>
  <c r="O161" i="1" s="1"/>
  <c r="P161" i="1" s="1"/>
  <c r="R161" i="1" s="1"/>
  <c r="L161" i="1"/>
  <c r="K161" i="1"/>
  <c r="R160" i="1"/>
  <c r="Q160" i="1"/>
  <c r="Q160" i="1" a="1"/>
  <c r="O160" i="1"/>
  <c r="P160" i="1" s="1"/>
  <c r="N160" i="1"/>
  <c r="L160" i="1"/>
  <c r="K160" i="1"/>
  <c r="Q159" i="1" a="1"/>
  <c r="Q159" i="1" s="1"/>
  <c r="N159" i="1"/>
  <c r="O159" i="1" s="1"/>
  <c r="P159" i="1" s="1"/>
  <c r="R159" i="1" s="1"/>
  <c r="L159" i="1"/>
  <c r="K159" i="1"/>
  <c r="R158" i="1"/>
  <c r="Q158" i="1"/>
  <c r="Q158" i="1" a="1"/>
  <c r="O158" i="1"/>
  <c r="P158" i="1" s="1"/>
  <c r="N158" i="1"/>
  <c r="L158" i="1"/>
  <c r="K158" i="1"/>
  <c r="Q157" i="1" a="1"/>
  <c r="Q157" i="1" s="1"/>
  <c r="O157" i="1"/>
  <c r="P157" i="1" s="1"/>
  <c r="R157" i="1" s="1"/>
  <c r="N157" i="1"/>
  <c r="L157" i="1"/>
  <c r="K157" i="1"/>
  <c r="Q156" i="1"/>
  <c r="Q156" i="1" a="1"/>
  <c r="N156" i="1"/>
  <c r="O156" i="1" s="1"/>
  <c r="P156" i="1" s="1"/>
  <c r="R156" i="1" s="1"/>
  <c r="L156" i="1"/>
  <c r="K156" i="1"/>
  <c r="Q155" i="1"/>
  <c r="Q155" i="1" a="1"/>
  <c r="N155" i="1"/>
  <c r="O155" i="1" s="1"/>
  <c r="P155" i="1" s="1"/>
  <c r="R155" i="1" s="1"/>
  <c r="L155" i="1"/>
  <c r="K155" i="1"/>
  <c r="Q154" i="1" a="1"/>
  <c r="Q154" i="1" s="1"/>
  <c r="N154" i="1"/>
  <c r="O154" i="1" s="1"/>
  <c r="P154" i="1" s="1"/>
  <c r="R154" i="1" s="1"/>
  <c r="L154" i="1"/>
  <c r="K154" i="1"/>
  <c r="Q153" i="1"/>
  <c r="Q153" i="1" a="1"/>
  <c r="N153" i="1"/>
  <c r="O153" i="1" s="1"/>
  <c r="P153" i="1" s="1"/>
  <c r="R153" i="1" s="1"/>
  <c r="L153" i="1"/>
  <c r="K153" i="1"/>
  <c r="Q152" i="1"/>
  <c r="Q152" i="1" a="1"/>
  <c r="P152" i="1"/>
  <c r="R152" i="1" s="1"/>
  <c r="N152" i="1"/>
  <c r="O152" i="1" s="1"/>
  <c r="L152" i="1"/>
  <c r="K152" i="1"/>
  <c r="Q151" i="1" a="1"/>
  <c r="Q151" i="1" s="1"/>
  <c r="N151" i="1"/>
  <c r="O151" i="1" s="1"/>
  <c r="P151" i="1" s="1"/>
  <c r="R151" i="1" s="1"/>
  <c r="L151" i="1"/>
  <c r="K151" i="1"/>
  <c r="Q150" i="1"/>
  <c r="Q150" i="1" a="1"/>
  <c r="N150" i="1"/>
  <c r="O150" i="1" s="1"/>
  <c r="P150" i="1" s="1"/>
  <c r="R150" i="1" s="1"/>
  <c r="L150" i="1"/>
  <c r="K150" i="1"/>
  <c r="Q149" i="1" a="1"/>
  <c r="Q149" i="1" s="1"/>
  <c r="N149" i="1"/>
  <c r="O149" i="1" s="1"/>
  <c r="P149" i="1" s="1"/>
  <c r="R149" i="1" s="1"/>
  <c r="L149" i="1"/>
  <c r="K149" i="1"/>
  <c r="Q148" i="1" a="1"/>
  <c r="Q148" i="1" s="1"/>
  <c r="P148" i="1"/>
  <c r="R148" i="1" s="1"/>
  <c r="N148" i="1"/>
  <c r="O148" i="1" s="1"/>
  <c r="L148" i="1"/>
  <c r="K148" i="1"/>
  <c r="Q147" i="1"/>
  <c r="Q147" i="1" a="1"/>
  <c r="N147" i="1"/>
  <c r="O147" i="1" s="1"/>
  <c r="P147" i="1" s="1"/>
  <c r="R147" i="1" s="1"/>
  <c r="L147" i="1"/>
  <c r="K147" i="1"/>
  <c r="Q146" i="1" a="1"/>
  <c r="Q146" i="1" s="1"/>
  <c r="N146" i="1"/>
  <c r="O146" i="1" s="1"/>
  <c r="P146" i="1" s="1"/>
  <c r="R146" i="1" s="1"/>
  <c r="L146" i="1"/>
  <c r="K146" i="1"/>
  <c r="Q145" i="1" a="1"/>
  <c r="Q145" i="1" s="1"/>
  <c r="N145" i="1"/>
  <c r="O145" i="1" s="1"/>
  <c r="P145" i="1" s="1"/>
  <c r="R145" i="1" s="1"/>
  <c r="L145" i="1"/>
  <c r="K145" i="1"/>
  <c r="Q144" i="1" a="1"/>
  <c r="Q144" i="1" s="1"/>
  <c r="P144" i="1"/>
  <c r="R144" i="1" s="1"/>
  <c r="N144" i="1"/>
  <c r="O144" i="1" s="1"/>
  <c r="L144" i="1"/>
  <c r="K144" i="1"/>
  <c r="Q143" i="1" a="1"/>
  <c r="Q143" i="1" s="1"/>
  <c r="N143" i="1"/>
  <c r="O143" i="1" s="1"/>
  <c r="P143" i="1" s="1"/>
  <c r="R143" i="1" s="1"/>
  <c r="L143" i="1"/>
  <c r="K143" i="1"/>
  <c r="Q142" i="1" a="1"/>
  <c r="Q142" i="1" s="1"/>
  <c r="N142" i="1"/>
  <c r="O142" i="1" s="1"/>
  <c r="P142" i="1" s="1"/>
  <c r="R142" i="1" s="1"/>
  <c r="L142" i="1"/>
  <c r="K142" i="1"/>
  <c r="Q141" i="1" a="1"/>
  <c r="Q141" i="1" s="1"/>
  <c r="N141" i="1"/>
  <c r="O141" i="1" s="1"/>
  <c r="P141" i="1" s="1"/>
  <c r="R141" i="1" s="1"/>
  <c r="L141" i="1"/>
  <c r="K141" i="1"/>
  <c r="Q140" i="1"/>
  <c r="Q140" i="1" a="1"/>
  <c r="P140" i="1"/>
  <c r="R140" i="1" s="1"/>
  <c r="N140" i="1"/>
  <c r="O140" i="1" s="1"/>
  <c r="L140" i="1"/>
  <c r="K140" i="1"/>
  <c r="Q139" i="1" a="1"/>
  <c r="Q139" i="1" s="1"/>
  <c r="N139" i="1"/>
  <c r="O139" i="1" s="1"/>
  <c r="P139" i="1" s="1"/>
  <c r="R139" i="1" s="1"/>
  <c r="L139" i="1"/>
  <c r="K139" i="1"/>
  <c r="Q138" i="1" a="1"/>
  <c r="Q138" i="1" s="1"/>
  <c r="N138" i="1"/>
  <c r="O138" i="1" s="1"/>
  <c r="P138" i="1" s="1"/>
  <c r="R138" i="1" s="1"/>
  <c r="L138" i="1"/>
  <c r="K138" i="1"/>
  <c r="Q137" i="1"/>
  <c r="Q137" i="1" a="1"/>
  <c r="N137" i="1"/>
  <c r="O137" i="1" s="1"/>
  <c r="P137" i="1" s="1"/>
  <c r="R137" i="1" s="1"/>
  <c r="L137" i="1"/>
  <c r="K137" i="1"/>
  <c r="Q136" i="1"/>
  <c r="Q136" i="1" a="1"/>
  <c r="P136" i="1"/>
  <c r="R136" i="1" s="1"/>
  <c r="N136" i="1"/>
  <c r="O136" i="1" s="1"/>
  <c r="L136" i="1"/>
  <c r="K136" i="1"/>
  <c r="Q135" i="1" a="1"/>
  <c r="Q135" i="1" s="1"/>
  <c r="N135" i="1"/>
  <c r="O135" i="1" s="1"/>
  <c r="P135" i="1" s="1"/>
  <c r="R135" i="1" s="1"/>
  <c r="L135" i="1"/>
  <c r="K135" i="1"/>
  <c r="Q134" i="1"/>
  <c r="Q134" i="1" a="1"/>
  <c r="N134" i="1"/>
  <c r="O134" i="1" s="1"/>
  <c r="P134" i="1" s="1"/>
  <c r="R134" i="1" s="1"/>
  <c r="L134" i="1"/>
  <c r="K134" i="1"/>
  <c r="Q133" i="1"/>
  <c r="Q133" i="1" a="1"/>
  <c r="N133" i="1"/>
  <c r="O133" i="1" s="1"/>
  <c r="P133" i="1" s="1"/>
  <c r="R133" i="1" s="1"/>
  <c r="L133" i="1"/>
  <c r="K133" i="1"/>
  <c r="Q132" i="1"/>
  <c r="Q132" i="1" a="1"/>
  <c r="P132" i="1"/>
  <c r="R132" i="1" s="1"/>
  <c r="N132" i="1"/>
  <c r="O132" i="1" s="1"/>
  <c r="L132" i="1"/>
  <c r="K132" i="1"/>
  <c r="Q131" i="1"/>
  <c r="Q131" i="1" a="1"/>
  <c r="N131" i="1"/>
  <c r="O131" i="1" s="1"/>
  <c r="P131" i="1" s="1"/>
  <c r="R131" i="1" s="1"/>
  <c r="L131" i="1"/>
  <c r="K131" i="1"/>
  <c r="Q130" i="1"/>
  <c r="Q130" i="1" a="1"/>
  <c r="N130" i="1"/>
  <c r="O130" i="1" s="1"/>
  <c r="P130" i="1" s="1"/>
  <c r="R130" i="1" s="1"/>
  <c r="L130" i="1"/>
  <c r="K130" i="1"/>
  <c r="Q129" i="1"/>
  <c r="Q129" i="1" a="1"/>
  <c r="N129" i="1"/>
  <c r="O129" i="1" s="1"/>
  <c r="P129" i="1" s="1"/>
  <c r="R129" i="1" s="1"/>
  <c r="L129" i="1"/>
  <c r="K129" i="1"/>
  <c r="Q128" i="1" a="1"/>
  <c r="Q128" i="1" s="1"/>
  <c r="P128" i="1"/>
  <c r="R128" i="1" s="1"/>
  <c r="N128" i="1"/>
  <c r="O128" i="1" s="1"/>
  <c r="L128" i="1"/>
  <c r="K128" i="1"/>
  <c r="Q127" i="1" a="1"/>
  <c r="Q127" i="1" s="1"/>
  <c r="N127" i="1"/>
  <c r="O127" i="1" s="1"/>
  <c r="P127" i="1" s="1"/>
  <c r="R127" i="1" s="1"/>
  <c r="L127" i="1"/>
  <c r="K127" i="1"/>
  <c r="Q126" i="1"/>
  <c r="Q126" i="1" a="1"/>
  <c r="N126" i="1"/>
  <c r="O126" i="1" s="1"/>
  <c r="P126" i="1" s="1"/>
  <c r="R126" i="1" s="1"/>
  <c r="L126" i="1"/>
  <c r="K126" i="1"/>
  <c r="Q125" i="1" a="1"/>
  <c r="Q125" i="1" s="1"/>
  <c r="N125" i="1"/>
  <c r="O125" i="1" s="1"/>
  <c r="P125" i="1" s="1"/>
  <c r="R125" i="1" s="1"/>
  <c r="L125" i="1"/>
  <c r="K125" i="1"/>
  <c r="Q124" i="1"/>
  <c r="Q124" i="1" a="1"/>
  <c r="P124" i="1"/>
  <c r="R124" i="1" s="1"/>
  <c r="N124" i="1"/>
  <c r="O124" i="1" s="1"/>
  <c r="L124" i="1"/>
  <c r="K124" i="1"/>
  <c r="Q123" i="1"/>
  <c r="Q123" i="1" a="1"/>
  <c r="N123" i="1"/>
  <c r="O123" i="1" s="1"/>
  <c r="P123" i="1" s="1"/>
  <c r="R123" i="1" s="1"/>
  <c r="L123" i="1"/>
  <c r="K123" i="1"/>
  <c r="Q122" i="1" a="1"/>
  <c r="Q122" i="1" s="1"/>
  <c r="N122" i="1"/>
  <c r="O122" i="1" s="1"/>
  <c r="P122" i="1" s="1"/>
  <c r="R122" i="1" s="1"/>
  <c r="L122" i="1"/>
  <c r="K122" i="1"/>
  <c r="Q121" i="1"/>
  <c r="Q121" i="1" a="1"/>
  <c r="N121" i="1"/>
  <c r="O121" i="1" s="1"/>
  <c r="P121" i="1" s="1"/>
  <c r="R121" i="1" s="1"/>
  <c r="L121" i="1"/>
  <c r="K121" i="1"/>
  <c r="Q120" i="1"/>
  <c r="Q120" i="1" a="1"/>
  <c r="P120" i="1"/>
  <c r="R120" i="1" s="1"/>
  <c r="N120" i="1"/>
  <c r="O120" i="1" s="1"/>
  <c r="L120" i="1"/>
  <c r="K120" i="1"/>
  <c r="Q119" i="1" a="1"/>
  <c r="Q119" i="1" s="1"/>
  <c r="N119" i="1"/>
  <c r="O119" i="1" s="1"/>
  <c r="P119" i="1" s="1"/>
  <c r="R119" i="1" s="1"/>
  <c r="L119" i="1"/>
  <c r="K119" i="1"/>
  <c r="Q118" i="1"/>
  <c r="Q118" i="1" a="1"/>
  <c r="N118" i="1"/>
  <c r="O118" i="1" s="1"/>
  <c r="P118" i="1" s="1"/>
  <c r="R118" i="1" s="1"/>
  <c r="L118" i="1"/>
  <c r="K118" i="1"/>
  <c r="Q117" i="1"/>
  <c r="Q117" i="1" a="1"/>
  <c r="N117" i="1"/>
  <c r="O117" i="1" s="1"/>
  <c r="P117" i="1" s="1"/>
  <c r="R117" i="1" s="1"/>
  <c r="L117" i="1"/>
  <c r="K117" i="1"/>
  <c r="Q116" i="1" a="1"/>
  <c r="Q116" i="1" s="1"/>
  <c r="P116" i="1"/>
  <c r="R116" i="1" s="1"/>
  <c r="N116" i="1"/>
  <c r="O116" i="1" s="1"/>
  <c r="L116" i="1"/>
  <c r="K116" i="1"/>
  <c r="Q115" i="1"/>
  <c r="Q115" i="1" a="1"/>
  <c r="N115" i="1"/>
  <c r="O115" i="1" s="1"/>
  <c r="P115" i="1" s="1"/>
  <c r="R115" i="1" s="1"/>
  <c r="L115" i="1"/>
  <c r="K115" i="1"/>
  <c r="Q114" i="1"/>
  <c r="Q114" i="1" a="1"/>
  <c r="N114" i="1"/>
  <c r="O114" i="1" s="1"/>
  <c r="P114" i="1" s="1"/>
  <c r="R114" i="1" s="1"/>
  <c r="L114" i="1"/>
  <c r="K114" i="1"/>
  <c r="Q113" i="1" a="1"/>
  <c r="Q113" i="1" s="1"/>
  <c r="N113" i="1"/>
  <c r="O113" i="1" s="1"/>
  <c r="P113" i="1" s="1"/>
  <c r="R113" i="1" s="1"/>
  <c r="L113" i="1"/>
  <c r="K113" i="1"/>
  <c r="Q112" i="1" a="1"/>
  <c r="Q112" i="1" s="1"/>
  <c r="P112" i="1"/>
  <c r="R112" i="1" s="1"/>
  <c r="N112" i="1"/>
  <c r="O112" i="1" s="1"/>
  <c r="L112" i="1"/>
  <c r="K112" i="1"/>
  <c r="Q111" i="1"/>
  <c r="Q111" i="1" a="1"/>
  <c r="N111" i="1"/>
  <c r="O111" i="1" s="1"/>
  <c r="P111" i="1" s="1"/>
  <c r="R111" i="1" s="1"/>
  <c r="L111" i="1"/>
  <c r="K111" i="1"/>
  <c r="Q110" i="1" a="1"/>
  <c r="Q110" i="1" s="1"/>
  <c r="N110" i="1"/>
  <c r="O110" i="1" s="1"/>
  <c r="P110" i="1" s="1"/>
  <c r="R110" i="1" s="1"/>
  <c r="L110" i="1"/>
  <c r="K110" i="1"/>
  <c r="Q109" i="1" a="1"/>
  <c r="Q109" i="1" s="1"/>
  <c r="N109" i="1"/>
  <c r="O109" i="1" s="1"/>
  <c r="P109" i="1" s="1"/>
  <c r="R109" i="1" s="1"/>
  <c r="L109" i="1"/>
  <c r="K109" i="1"/>
  <c r="Q108" i="1"/>
  <c r="Q108" i="1" a="1"/>
  <c r="P108" i="1"/>
  <c r="R108" i="1" s="1"/>
  <c r="N108" i="1"/>
  <c r="O108" i="1" s="1"/>
  <c r="L108" i="1"/>
  <c r="K108" i="1"/>
  <c r="Q107" i="1" a="1"/>
  <c r="Q107" i="1" s="1"/>
  <c r="N107" i="1"/>
  <c r="O107" i="1" s="1"/>
  <c r="P107" i="1" s="1"/>
  <c r="R107" i="1" s="1"/>
  <c r="L107" i="1"/>
  <c r="K107" i="1"/>
  <c r="Q106" i="1" a="1"/>
  <c r="Q106" i="1" s="1"/>
  <c r="N106" i="1"/>
  <c r="O106" i="1" s="1"/>
  <c r="P106" i="1" s="1"/>
  <c r="R106" i="1" s="1"/>
  <c r="L106" i="1"/>
  <c r="K106" i="1"/>
  <c r="Q105" i="1"/>
  <c r="Q105" i="1" a="1"/>
  <c r="N105" i="1"/>
  <c r="O105" i="1" s="1"/>
  <c r="P105" i="1" s="1"/>
  <c r="R105" i="1" s="1"/>
  <c r="L105" i="1"/>
  <c r="K105" i="1"/>
  <c r="Q104" i="1"/>
  <c r="Q104" i="1" a="1"/>
  <c r="P104" i="1"/>
  <c r="R104" i="1" s="1"/>
  <c r="N104" i="1"/>
  <c r="O104" i="1" s="1"/>
  <c r="L104" i="1"/>
  <c r="K104" i="1"/>
  <c r="Q103" i="1" a="1"/>
  <c r="Q103" i="1" s="1"/>
  <c r="N103" i="1"/>
  <c r="O103" i="1" s="1"/>
  <c r="P103" i="1" s="1"/>
  <c r="R103" i="1" s="1"/>
  <c r="L103" i="1"/>
  <c r="K103" i="1"/>
  <c r="Q102" i="1"/>
  <c r="Q102" i="1" a="1"/>
  <c r="N102" i="1"/>
  <c r="O102" i="1" s="1"/>
  <c r="P102" i="1" s="1"/>
  <c r="R102" i="1" s="1"/>
  <c r="L102" i="1"/>
  <c r="K102" i="1"/>
  <c r="Q101" i="1"/>
  <c r="Q101" i="1" a="1"/>
  <c r="N101" i="1"/>
  <c r="O101" i="1" s="1"/>
  <c r="P101" i="1" s="1"/>
  <c r="R101" i="1" s="1"/>
  <c r="L101" i="1"/>
  <c r="K101" i="1"/>
  <c r="Q100" i="1"/>
  <c r="Q100" i="1" a="1"/>
  <c r="P100" i="1"/>
  <c r="R100" i="1" s="1"/>
  <c r="N100" i="1"/>
  <c r="O100" i="1" s="1"/>
  <c r="L100" i="1"/>
  <c r="K100" i="1"/>
  <c r="Q99" i="1"/>
  <c r="Q99" i="1" a="1"/>
  <c r="N99" i="1"/>
  <c r="O99" i="1" s="1"/>
  <c r="P99" i="1" s="1"/>
  <c r="R99" i="1" s="1"/>
  <c r="L99" i="1"/>
  <c r="K99" i="1"/>
  <c r="Q98" i="1" a="1"/>
  <c r="Q98" i="1" s="1"/>
  <c r="N98" i="1"/>
  <c r="O98" i="1" s="1"/>
  <c r="P98" i="1" s="1"/>
  <c r="R98" i="1" s="1"/>
  <c r="L98" i="1"/>
  <c r="K98" i="1"/>
  <c r="Q97" i="1"/>
  <c r="Q97" i="1" a="1"/>
  <c r="N97" i="1"/>
  <c r="O97" i="1" s="1"/>
  <c r="P97" i="1" s="1"/>
  <c r="R97" i="1" s="1"/>
  <c r="L97" i="1"/>
  <c r="K97" i="1"/>
  <c r="Q96" i="1" a="1"/>
  <c r="Q96" i="1" s="1"/>
  <c r="P96" i="1"/>
  <c r="R96" i="1" s="1"/>
  <c r="N96" i="1"/>
  <c r="O96" i="1" s="1"/>
  <c r="L96" i="1"/>
  <c r="K96" i="1"/>
  <c r="Q95" i="1" a="1"/>
  <c r="Q95" i="1" s="1"/>
  <c r="N95" i="1"/>
  <c r="O95" i="1" s="1"/>
  <c r="P95" i="1" s="1"/>
  <c r="R95" i="1" s="1"/>
  <c r="L95" i="1"/>
  <c r="K95" i="1"/>
  <c r="Q94" i="1"/>
  <c r="Q94" i="1" a="1"/>
  <c r="N94" i="1"/>
  <c r="O94" i="1" s="1"/>
  <c r="P94" i="1" s="1"/>
  <c r="R94" i="1" s="1"/>
  <c r="L94" i="1"/>
  <c r="K94" i="1"/>
  <c r="Q93" i="1" a="1"/>
  <c r="Q93" i="1" s="1"/>
  <c r="N93" i="1"/>
  <c r="O93" i="1" s="1"/>
  <c r="P93" i="1" s="1"/>
  <c r="R93" i="1" s="1"/>
  <c r="L93" i="1"/>
  <c r="K93" i="1"/>
  <c r="Q92" i="1"/>
  <c r="Q92" i="1" a="1"/>
  <c r="P92" i="1"/>
  <c r="R92" i="1" s="1"/>
  <c r="N92" i="1"/>
  <c r="O92" i="1" s="1"/>
  <c r="L92" i="1"/>
  <c r="K92" i="1"/>
  <c r="Q91" i="1"/>
  <c r="Q91" i="1" a="1"/>
  <c r="N91" i="1"/>
  <c r="O91" i="1" s="1"/>
  <c r="P91" i="1" s="1"/>
  <c r="R91" i="1" s="1"/>
  <c r="L91" i="1"/>
  <c r="K91" i="1"/>
  <c r="Q90" i="1" a="1"/>
  <c r="Q90" i="1" s="1"/>
  <c r="N90" i="1"/>
  <c r="O90" i="1" s="1"/>
  <c r="P90" i="1" s="1"/>
  <c r="R90" i="1" s="1"/>
  <c r="L90" i="1"/>
  <c r="K90" i="1"/>
  <c r="Q89" i="1"/>
  <c r="Q89" i="1" a="1"/>
  <c r="N89" i="1"/>
  <c r="O89" i="1" s="1"/>
  <c r="P89" i="1" s="1"/>
  <c r="R89" i="1" s="1"/>
  <c r="L89" i="1"/>
  <c r="K89" i="1"/>
  <c r="Q88" i="1"/>
  <c r="Q88" i="1" a="1"/>
  <c r="P88" i="1"/>
  <c r="R88" i="1" s="1"/>
  <c r="N88" i="1"/>
  <c r="O88" i="1" s="1"/>
  <c r="L88" i="1"/>
  <c r="K88" i="1"/>
  <c r="Q87" i="1" a="1"/>
  <c r="Q87" i="1" s="1"/>
  <c r="N87" i="1"/>
  <c r="O87" i="1" s="1"/>
  <c r="P87" i="1" s="1"/>
  <c r="R87" i="1" s="1"/>
  <c r="L87" i="1"/>
  <c r="K87" i="1"/>
  <c r="Q86" i="1"/>
  <c r="Q86" i="1" a="1"/>
  <c r="N86" i="1"/>
  <c r="O86" i="1" s="1"/>
  <c r="P86" i="1" s="1"/>
  <c r="R86" i="1" s="1"/>
  <c r="L86" i="1"/>
  <c r="K86" i="1"/>
  <c r="Q85" i="1"/>
  <c r="Q85" i="1" a="1"/>
  <c r="N85" i="1"/>
  <c r="O85" i="1" s="1"/>
  <c r="P85" i="1" s="1"/>
  <c r="R85" i="1" s="1"/>
  <c r="L85" i="1"/>
  <c r="K85" i="1"/>
  <c r="Q84" i="1" a="1"/>
  <c r="Q84" i="1" s="1"/>
  <c r="P84" i="1"/>
  <c r="R84" i="1" s="1"/>
  <c r="N84" i="1"/>
  <c r="O84" i="1" s="1"/>
  <c r="L84" i="1"/>
  <c r="K84" i="1"/>
  <c r="Q83" i="1"/>
  <c r="Q83" i="1" a="1"/>
  <c r="N83" i="1"/>
  <c r="O83" i="1" s="1"/>
  <c r="P83" i="1" s="1"/>
  <c r="R83" i="1" s="1"/>
  <c r="L83" i="1"/>
  <c r="K83" i="1"/>
  <c r="Q82" i="1"/>
  <c r="Q82" i="1" a="1"/>
  <c r="N82" i="1"/>
  <c r="O82" i="1" s="1"/>
  <c r="P82" i="1" s="1"/>
  <c r="R82" i="1" s="1"/>
  <c r="L82" i="1"/>
  <c r="K82" i="1"/>
  <c r="Q81" i="1" a="1"/>
  <c r="Q81" i="1" s="1"/>
  <c r="N81" i="1"/>
  <c r="O81" i="1" s="1"/>
  <c r="P81" i="1" s="1"/>
  <c r="R81" i="1" s="1"/>
  <c r="L81" i="1"/>
  <c r="K81" i="1"/>
  <c r="Q80" i="1" a="1"/>
  <c r="Q80" i="1" s="1"/>
  <c r="P80" i="1"/>
  <c r="R80" i="1" s="1"/>
  <c r="N80" i="1"/>
  <c r="O80" i="1" s="1"/>
  <c r="L80" i="1"/>
  <c r="K80" i="1"/>
  <c r="Q79" i="1"/>
  <c r="Q79" i="1" a="1"/>
  <c r="N79" i="1"/>
  <c r="O79" i="1" s="1"/>
  <c r="P79" i="1" s="1"/>
  <c r="R79" i="1" s="1"/>
  <c r="L79" i="1"/>
  <c r="K79" i="1"/>
  <c r="Q78" i="1" a="1"/>
  <c r="Q78" i="1" s="1"/>
  <c r="N78" i="1"/>
  <c r="O78" i="1" s="1"/>
  <c r="P78" i="1" s="1"/>
  <c r="R78" i="1" s="1"/>
  <c r="L78" i="1"/>
  <c r="K78" i="1"/>
  <c r="Q77" i="1" a="1"/>
  <c r="Q77" i="1" s="1"/>
  <c r="N77" i="1"/>
  <c r="O77" i="1" s="1"/>
  <c r="P77" i="1" s="1"/>
  <c r="R77" i="1" s="1"/>
  <c r="L77" i="1"/>
  <c r="K77" i="1"/>
  <c r="Q76" i="1"/>
  <c r="Q76" i="1" a="1"/>
  <c r="P76" i="1"/>
  <c r="R76" i="1" s="1"/>
  <c r="N76" i="1"/>
  <c r="O76" i="1" s="1"/>
  <c r="L76" i="1"/>
  <c r="K76" i="1"/>
  <c r="Q75" i="1" a="1"/>
  <c r="Q75" i="1" s="1"/>
  <c r="N75" i="1"/>
  <c r="O75" i="1" s="1"/>
  <c r="P75" i="1" s="1"/>
  <c r="R75" i="1" s="1"/>
  <c r="L75" i="1"/>
  <c r="K75" i="1"/>
  <c r="Q74" i="1" a="1"/>
  <c r="Q74" i="1" s="1"/>
  <c r="N74" i="1"/>
  <c r="O74" i="1" s="1"/>
  <c r="P74" i="1" s="1"/>
  <c r="R74" i="1" s="1"/>
  <c r="L74" i="1"/>
  <c r="K74" i="1"/>
  <c r="Q73" i="1"/>
  <c r="Q73" i="1" a="1"/>
  <c r="N73" i="1"/>
  <c r="O73" i="1" s="1"/>
  <c r="P73" i="1" s="1"/>
  <c r="R73" i="1" s="1"/>
  <c r="L73" i="1"/>
  <c r="K73" i="1"/>
  <c r="Q72" i="1"/>
  <c r="Q72" i="1" a="1"/>
  <c r="N72" i="1"/>
  <c r="O72" i="1" s="1"/>
  <c r="P72" i="1" s="1"/>
  <c r="R72" i="1" s="1"/>
  <c r="L72" i="1"/>
  <c r="K72" i="1"/>
  <c r="Q71" i="1"/>
  <c r="Q71" i="1" a="1"/>
  <c r="N71" i="1"/>
  <c r="O71" i="1" s="1"/>
  <c r="P71" i="1" s="1"/>
  <c r="R71" i="1" s="1"/>
  <c r="L71" i="1"/>
  <c r="K71" i="1"/>
  <c r="Q70" i="1" a="1"/>
  <c r="Q70" i="1" s="1"/>
  <c r="N70" i="1"/>
  <c r="O70" i="1" s="1"/>
  <c r="P70" i="1" s="1"/>
  <c r="R70" i="1" s="1"/>
  <c r="L70" i="1"/>
  <c r="K70" i="1"/>
  <c r="Q69" i="1"/>
  <c r="Q69" i="1" a="1"/>
  <c r="N69" i="1"/>
  <c r="O69" i="1" s="1"/>
  <c r="P69" i="1" s="1"/>
  <c r="R69" i="1" s="1"/>
  <c r="L69" i="1"/>
  <c r="K69" i="1"/>
  <c r="Q68" i="1"/>
  <c r="Q68" i="1" a="1"/>
  <c r="N68" i="1"/>
  <c r="O68" i="1" s="1"/>
  <c r="P68" i="1" s="1"/>
  <c r="R68" i="1" s="1"/>
  <c r="L68" i="1"/>
  <c r="K68" i="1"/>
  <c r="Q67" i="1" a="1"/>
  <c r="Q67" i="1" s="1"/>
  <c r="N67" i="1"/>
  <c r="O67" i="1" s="1"/>
  <c r="P67" i="1" s="1"/>
  <c r="R67" i="1" s="1"/>
  <c r="L67" i="1"/>
  <c r="K67" i="1"/>
  <c r="Q66" i="1" a="1"/>
  <c r="Q66" i="1" s="1"/>
  <c r="N66" i="1"/>
  <c r="O66" i="1" s="1"/>
  <c r="P66" i="1" s="1"/>
  <c r="R66" i="1" s="1"/>
  <c r="L66" i="1"/>
  <c r="K66" i="1"/>
  <c r="Q65" i="1"/>
  <c r="Q65" i="1" a="1"/>
  <c r="N65" i="1"/>
  <c r="O65" i="1" s="1"/>
  <c r="P65" i="1" s="1"/>
  <c r="R65" i="1" s="1"/>
  <c r="L65" i="1"/>
  <c r="K65" i="1"/>
  <c r="Q64" i="1"/>
  <c r="Q64" i="1" a="1"/>
  <c r="N64" i="1"/>
  <c r="O64" i="1" s="1"/>
  <c r="P64" i="1" s="1"/>
  <c r="R64" i="1" s="1"/>
  <c r="L64" i="1"/>
  <c r="K64" i="1"/>
  <c r="Q63" i="1"/>
  <c r="Q63" i="1" a="1"/>
  <c r="N63" i="1"/>
  <c r="O63" i="1" s="1"/>
  <c r="P63" i="1" s="1"/>
  <c r="R63" i="1" s="1"/>
  <c r="L63" i="1"/>
  <c r="K63" i="1"/>
  <c r="Q62" i="1" a="1"/>
  <c r="Q62" i="1" s="1"/>
  <c r="N62" i="1"/>
  <c r="O62" i="1" s="1"/>
  <c r="P62" i="1" s="1"/>
  <c r="R62" i="1" s="1"/>
  <c r="L62" i="1"/>
  <c r="K62" i="1"/>
  <c r="Q61" i="1"/>
  <c r="Q61" i="1" a="1"/>
  <c r="N61" i="1"/>
  <c r="O61" i="1" s="1"/>
  <c r="P61" i="1" s="1"/>
  <c r="R61" i="1" s="1"/>
  <c r="L61" i="1"/>
  <c r="K61" i="1"/>
  <c r="Q60" i="1"/>
  <c r="Q60" i="1" a="1"/>
  <c r="N60" i="1"/>
  <c r="O60" i="1" s="1"/>
  <c r="P60" i="1" s="1"/>
  <c r="R60" i="1" s="1"/>
  <c r="L60" i="1"/>
  <c r="K60" i="1"/>
  <c r="Q59" i="1" a="1"/>
  <c r="Q59" i="1" s="1"/>
  <c r="N59" i="1"/>
  <c r="O59" i="1" s="1"/>
  <c r="P59" i="1" s="1"/>
  <c r="R59" i="1" s="1"/>
  <c r="L59" i="1"/>
  <c r="K59" i="1"/>
  <c r="Q58" i="1" a="1"/>
  <c r="Q58" i="1" s="1"/>
  <c r="N58" i="1"/>
  <c r="O58" i="1" s="1"/>
  <c r="P58" i="1" s="1"/>
  <c r="R58" i="1" s="1"/>
  <c r="L58" i="1"/>
  <c r="K58" i="1"/>
  <c r="Q57" i="1"/>
  <c r="Q57" i="1" a="1"/>
  <c r="N57" i="1"/>
  <c r="O57" i="1" s="1"/>
  <c r="P57" i="1" s="1"/>
  <c r="R57" i="1" s="1"/>
  <c r="L57" i="1"/>
  <c r="K57" i="1"/>
  <c r="Q56" i="1" a="1"/>
  <c r="Q56" i="1" s="1"/>
  <c r="N56" i="1"/>
  <c r="O56" i="1" s="1"/>
  <c r="P56" i="1" s="1"/>
  <c r="R56" i="1" s="1"/>
  <c r="L56" i="1"/>
  <c r="K56" i="1"/>
  <c r="Q55" i="1"/>
  <c r="Q55" i="1" a="1"/>
  <c r="N55" i="1"/>
  <c r="O55" i="1" s="1"/>
  <c r="P55" i="1" s="1"/>
  <c r="R55" i="1" s="1"/>
  <c r="L55" i="1"/>
  <c r="K55" i="1"/>
  <c r="Q54" i="1" a="1"/>
  <c r="Q54" i="1" s="1"/>
  <c r="N54" i="1"/>
  <c r="O54" i="1" s="1"/>
  <c r="P54" i="1" s="1"/>
  <c r="R54" i="1" s="1"/>
  <c r="L54" i="1"/>
  <c r="K54" i="1"/>
  <c r="Q53" i="1"/>
  <c r="Q53" i="1" a="1"/>
  <c r="N53" i="1"/>
  <c r="O53" i="1" s="1"/>
  <c r="P53" i="1" s="1"/>
  <c r="R53" i="1" s="1"/>
  <c r="L53" i="1"/>
  <c r="K53" i="1"/>
  <c r="Q52" i="1"/>
  <c r="Q52" i="1" a="1"/>
  <c r="N52" i="1"/>
  <c r="O52" i="1" s="1"/>
  <c r="P52" i="1" s="1"/>
  <c r="R52" i="1" s="1"/>
  <c r="L52" i="1"/>
  <c r="K52" i="1"/>
  <c r="Q51" i="1" a="1"/>
  <c r="Q51" i="1" s="1"/>
  <c r="N51" i="1"/>
  <c r="O51" i="1" s="1"/>
  <c r="P51" i="1" s="1"/>
  <c r="R51" i="1" s="1"/>
  <c r="L51" i="1"/>
  <c r="K51" i="1"/>
  <c r="Q50" i="1" a="1"/>
  <c r="Q50" i="1" s="1"/>
  <c r="N50" i="1"/>
  <c r="O50" i="1" s="1"/>
  <c r="P50" i="1" s="1"/>
  <c r="R50" i="1" s="1"/>
  <c r="L50" i="1"/>
  <c r="K50" i="1"/>
  <c r="Q49" i="1"/>
  <c r="Q49" i="1" a="1"/>
  <c r="N49" i="1"/>
  <c r="O49" i="1" s="1"/>
  <c r="P49" i="1" s="1"/>
  <c r="R49" i="1" s="1"/>
  <c r="L49" i="1"/>
  <c r="K49" i="1"/>
  <c r="Q48" i="1" a="1"/>
  <c r="Q48" i="1" s="1"/>
  <c r="N48" i="1"/>
  <c r="O48" i="1" s="1"/>
  <c r="P48" i="1" s="1"/>
  <c r="R48" i="1" s="1"/>
  <c r="L48" i="1"/>
  <c r="K48" i="1"/>
  <c r="Q47" i="1"/>
  <c r="Q47" i="1" a="1"/>
  <c r="N47" i="1"/>
  <c r="O47" i="1" s="1"/>
  <c r="P47" i="1" s="1"/>
  <c r="R47" i="1" s="1"/>
  <c r="L47" i="1"/>
  <c r="K47" i="1"/>
  <c r="Q46" i="1" a="1"/>
  <c r="Q46" i="1" s="1"/>
  <c r="N46" i="1"/>
  <c r="O46" i="1" s="1"/>
  <c r="P46" i="1" s="1"/>
  <c r="R46" i="1" s="1"/>
  <c r="L46" i="1"/>
  <c r="K46" i="1"/>
  <c r="Q45" i="1"/>
  <c r="Q45" i="1" a="1"/>
  <c r="N45" i="1"/>
  <c r="O45" i="1" s="1"/>
  <c r="P45" i="1" s="1"/>
  <c r="R45" i="1" s="1"/>
  <c r="L45" i="1"/>
  <c r="K45" i="1"/>
  <c r="Q44" i="1"/>
  <c r="Q44" i="1" a="1"/>
  <c r="N44" i="1"/>
  <c r="O44" i="1" s="1"/>
  <c r="P44" i="1" s="1"/>
  <c r="R44" i="1" s="1"/>
  <c r="L44" i="1"/>
  <c r="K44" i="1"/>
  <c r="Q43" i="1" a="1"/>
  <c r="Q43" i="1" s="1"/>
  <c r="N43" i="1"/>
  <c r="O43" i="1" s="1"/>
  <c r="P43" i="1" s="1"/>
  <c r="R43" i="1" s="1"/>
  <c r="L43" i="1"/>
  <c r="K43" i="1"/>
  <c r="Q42" i="1" a="1"/>
  <c r="Q42" i="1" s="1"/>
  <c r="N42" i="1"/>
  <c r="O42" i="1" s="1"/>
  <c r="P42" i="1" s="1"/>
  <c r="R42" i="1" s="1"/>
  <c r="L42" i="1"/>
  <c r="K42" i="1"/>
  <c r="Q41" i="1"/>
  <c r="Q41" i="1" a="1"/>
  <c r="N41" i="1"/>
  <c r="O41" i="1" s="1"/>
  <c r="P41" i="1" s="1"/>
  <c r="R41" i="1" s="1"/>
  <c r="L41" i="1"/>
  <c r="K41" i="1"/>
  <c r="Q40" i="1" a="1"/>
  <c r="Q40" i="1" s="1"/>
  <c r="N40" i="1"/>
  <c r="O40" i="1" s="1"/>
  <c r="P40" i="1" s="1"/>
  <c r="R40" i="1" s="1"/>
  <c r="L40" i="1"/>
  <c r="K40" i="1"/>
  <c r="Q39" i="1"/>
  <c r="Q39" i="1" a="1"/>
  <c r="N39" i="1"/>
  <c r="O39" i="1" s="1"/>
  <c r="P39" i="1" s="1"/>
  <c r="R39" i="1" s="1"/>
  <c r="L39" i="1"/>
  <c r="K39" i="1"/>
  <c r="Q38" i="1" a="1"/>
  <c r="Q38" i="1" s="1"/>
  <c r="N38" i="1"/>
  <c r="O38" i="1" s="1"/>
  <c r="P38" i="1" s="1"/>
  <c r="R38" i="1" s="1"/>
  <c r="L38" i="1"/>
  <c r="K38" i="1"/>
  <c r="Q37" i="1"/>
  <c r="Q37" i="1" a="1"/>
  <c r="N37" i="1"/>
  <c r="O37" i="1" s="1"/>
  <c r="P37" i="1" s="1"/>
  <c r="R37" i="1" s="1"/>
  <c r="L37" i="1"/>
  <c r="K37" i="1"/>
  <c r="Q36" i="1"/>
  <c r="Q36" i="1" a="1"/>
  <c r="N36" i="1"/>
  <c r="O36" i="1" s="1"/>
  <c r="P36" i="1" s="1"/>
  <c r="R36" i="1" s="1"/>
  <c r="L36" i="1"/>
  <c r="K36" i="1"/>
  <c r="Q35" i="1" a="1"/>
  <c r="Q35" i="1" s="1"/>
  <c r="N35" i="1"/>
  <c r="O35" i="1" s="1"/>
  <c r="P35" i="1" s="1"/>
  <c r="R35" i="1" s="1"/>
  <c r="L35" i="1"/>
  <c r="K35" i="1"/>
  <c r="Q34" i="1" a="1"/>
  <c r="Q34" i="1" s="1"/>
  <c r="N34" i="1"/>
  <c r="O34" i="1" s="1"/>
  <c r="P34" i="1" s="1"/>
  <c r="R34" i="1" s="1"/>
  <c r="L34" i="1"/>
  <c r="K34" i="1"/>
  <c r="Q33" i="1"/>
  <c r="Q33" i="1" a="1"/>
  <c r="N33" i="1"/>
  <c r="O33" i="1" s="1"/>
  <c r="P33" i="1" s="1"/>
  <c r="R33" i="1" s="1"/>
  <c r="L33" i="1"/>
  <c r="K33" i="1"/>
  <c r="Q32" i="1" a="1"/>
  <c r="Q32" i="1" s="1"/>
  <c r="N32" i="1"/>
  <c r="O32" i="1" s="1"/>
  <c r="P32" i="1" s="1"/>
  <c r="R32" i="1" s="1"/>
  <c r="L32" i="1"/>
  <c r="K32" i="1"/>
  <c r="Q31" i="1" a="1"/>
  <c r="Q31" i="1" s="1"/>
  <c r="N31" i="1"/>
  <c r="O31" i="1" s="1"/>
  <c r="P31" i="1" s="1"/>
  <c r="R31" i="1" s="1"/>
  <c r="L31" i="1"/>
  <c r="K31" i="1"/>
  <c r="Q30" i="1" a="1"/>
  <c r="Q30" i="1" s="1"/>
  <c r="N30" i="1"/>
  <c r="O30" i="1" s="1"/>
  <c r="P30" i="1" s="1"/>
  <c r="R30" i="1" s="1"/>
  <c r="L30" i="1"/>
  <c r="K30" i="1"/>
  <c r="Q29" i="1"/>
  <c r="Q29" i="1" a="1"/>
  <c r="N29" i="1"/>
  <c r="O29" i="1" s="1"/>
  <c r="P29" i="1" s="1"/>
  <c r="R29" i="1" s="1"/>
  <c r="L29" i="1"/>
  <c r="K29" i="1"/>
  <c r="Q28" i="1"/>
  <c r="Q28" i="1" a="1"/>
  <c r="N28" i="1"/>
  <c r="O28" i="1" s="1"/>
  <c r="P28" i="1" s="1"/>
  <c r="R28" i="1" s="1"/>
  <c r="L28" i="1"/>
  <c r="K28" i="1"/>
  <c r="Q27" i="1" a="1"/>
  <c r="Q27" i="1" s="1"/>
  <c r="N27" i="1"/>
  <c r="O27" i="1" s="1"/>
  <c r="P27" i="1" s="1"/>
  <c r="R27" i="1" s="1"/>
  <c r="L27" i="1"/>
  <c r="K27" i="1"/>
  <c r="Q26" i="1" a="1"/>
  <c r="Q26" i="1" s="1"/>
  <c r="N26" i="1"/>
  <c r="O26" i="1" s="1"/>
  <c r="P26" i="1" s="1"/>
  <c r="R26" i="1" s="1"/>
  <c r="L26" i="1"/>
  <c r="K26" i="1"/>
  <c r="Q25" i="1"/>
  <c r="Q25" i="1" a="1"/>
  <c r="N25" i="1"/>
  <c r="O25" i="1" s="1"/>
  <c r="P25" i="1" s="1"/>
  <c r="R25" i="1" s="1"/>
  <c r="L25" i="1"/>
  <c r="K25" i="1"/>
  <c r="Q24" i="1" a="1"/>
  <c r="Q24" i="1" s="1"/>
  <c r="N24" i="1"/>
  <c r="O24" i="1" s="1"/>
  <c r="P24" i="1" s="1"/>
  <c r="R24" i="1" s="1"/>
  <c r="L24" i="1"/>
  <c r="K24" i="1"/>
  <c r="Q23" i="1" a="1"/>
  <c r="Q23" i="1" s="1"/>
  <c r="N23" i="1"/>
  <c r="O23" i="1" s="1"/>
  <c r="P23" i="1" s="1"/>
  <c r="R23" i="1" s="1"/>
  <c r="L23" i="1"/>
  <c r="K23" i="1"/>
  <c r="Q22" i="1" a="1"/>
  <c r="Q22" i="1" s="1"/>
  <c r="N22" i="1"/>
  <c r="O22" i="1" s="1"/>
  <c r="P22" i="1" s="1"/>
  <c r="R22" i="1" s="1"/>
  <c r="L22" i="1"/>
  <c r="K22" i="1"/>
  <c r="Q21" i="1"/>
  <c r="Q21" i="1" a="1"/>
  <c r="N21" i="1"/>
  <c r="O21" i="1" s="1"/>
  <c r="P21" i="1" s="1"/>
  <c r="R21" i="1" s="1"/>
  <c r="L21" i="1"/>
  <c r="K21" i="1"/>
  <c r="Q20" i="1"/>
  <c r="Q20" i="1" a="1"/>
  <c r="N20" i="1"/>
  <c r="O20" i="1" s="1"/>
  <c r="P20" i="1" s="1"/>
  <c r="R20" i="1" s="1"/>
  <c r="L20" i="1"/>
  <c r="K20" i="1"/>
  <c r="Q19" i="1" a="1"/>
  <c r="Q19" i="1" s="1"/>
  <c r="N19" i="1"/>
  <c r="O19" i="1" s="1"/>
  <c r="P19" i="1" s="1"/>
  <c r="R19" i="1" s="1"/>
  <c r="L19" i="1"/>
  <c r="K19" i="1"/>
  <c r="Q18" i="1" a="1"/>
  <c r="Q18" i="1" s="1"/>
  <c r="N18" i="1"/>
  <c r="O18" i="1" s="1"/>
  <c r="P18" i="1" s="1"/>
  <c r="R18" i="1" s="1"/>
  <c r="L18" i="1"/>
  <c r="K18" i="1"/>
  <c r="Q17" i="1"/>
  <c r="Q17" i="1" a="1"/>
  <c r="N17" i="1"/>
  <c r="O17" i="1" s="1"/>
  <c r="P17" i="1" s="1"/>
  <c r="R17" i="1" s="1"/>
  <c r="L17" i="1"/>
  <c r="K17" i="1"/>
  <c r="Q16" i="1" a="1"/>
  <c r="Q16" i="1" s="1"/>
  <c r="N16" i="1"/>
  <c r="O16" i="1" s="1"/>
  <c r="P16" i="1" s="1"/>
  <c r="R16" i="1" s="1"/>
  <c r="L16" i="1"/>
  <c r="K16" i="1"/>
  <c r="Q15" i="1" a="1"/>
  <c r="Q15" i="1" s="1"/>
  <c r="N15" i="1"/>
  <c r="O15" i="1" s="1"/>
  <c r="P15" i="1" s="1"/>
  <c r="R15" i="1" s="1"/>
  <c r="L15" i="1"/>
  <c r="K15" i="1"/>
  <c r="Q14" i="1" a="1"/>
  <c r="Q14" i="1" s="1"/>
  <c r="N14" i="1"/>
  <c r="O14" i="1" s="1"/>
  <c r="P14" i="1" s="1"/>
  <c r="R14" i="1" s="1"/>
  <c r="L14" i="1"/>
  <c r="K14" i="1"/>
  <c r="Q13" i="1"/>
  <c r="Q13" i="1" a="1"/>
  <c r="N13" i="1"/>
  <c r="O13" i="1" s="1"/>
  <c r="P13" i="1" s="1"/>
  <c r="R13" i="1" s="1"/>
  <c r="L13" i="1"/>
  <c r="K13" i="1"/>
  <c r="Q12" i="1"/>
  <c r="Q12" i="1" a="1"/>
  <c r="N12" i="1"/>
  <c r="O12" i="1" s="1"/>
  <c r="P12" i="1" s="1"/>
  <c r="R12" i="1" s="1"/>
  <c r="L12" i="1"/>
  <c r="K12" i="1"/>
  <c r="Q11" i="1" a="1"/>
  <c r="Q11" i="1" s="1"/>
  <c r="N11" i="1"/>
  <c r="O11" i="1" s="1"/>
  <c r="P11" i="1" s="1"/>
  <c r="R11" i="1" s="1"/>
  <c r="L11" i="1"/>
  <c r="K11" i="1"/>
  <c r="Q10" i="1"/>
  <c r="Q10" i="1" a="1"/>
  <c r="N10" i="1"/>
  <c r="O10" i="1" s="1"/>
  <c r="P10" i="1" s="1"/>
  <c r="R10" i="1" s="1"/>
  <c r="L10" i="1"/>
  <c r="K10" i="1"/>
  <c r="Q9" i="1"/>
  <c r="Q9" i="1" a="1"/>
  <c r="N9" i="1"/>
  <c r="O9" i="1" s="1"/>
  <c r="P9" i="1" s="1"/>
  <c r="R9" i="1" s="1"/>
  <c r="L9" i="1"/>
  <c r="K9" i="1"/>
  <c r="Q8" i="1" a="1"/>
  <c r="Q8" i="1" s="1"/>
  <c r="N8" i="1"/>
  <c r="O8" i="1" s="1"/>
  <c r="P8" i="1" s="1"/>
  <c r="R8" i="1" s="1"/>
  <c r="L8" i="1"/>
  <c r="K8" i="1"/>
  <c r="Q7" i="1" a="1"/>
  <c r="Q7" i="1" s="1"/>
  <c r="N7" i="1"/>
  <c r="O7" i="1" s="1"/>
  <c r="P7" i="1" s="1"/>
  <c r="R7" i="1" s="1"/>
  <c r="L7" i="1"/>
  <c r="K7" i="1"/>
  <c r="Q6" i="1" a="1"/>
  <c r="Q6" i="1" s="1"/>
  <c r="N6" i="1"/>
  <c r="O6" i="1" s="1"/>
  <c r="P6" i="1" s="1"/>
  <c r="R6" i="1" s="1"/>
  <c r="L6" i="1"/>
  <c r="K6" i="1"/>
  <c r="Q5" i="1"/>
  <c r="Q5" i="1" a="1"/>
  <c r="N5" i="1"/>
  <c r="O5" i="1" s="1"/>
  <c r="P5" i="1" s="1"/>
  <c r="R5" i="1" s="1"/>
  <c r="L5" i="1"/>
  <c r="K5" i="1"/>
  <c r="Q4" i="1"/>
  <c r="Q4" i="1" a="1"/>
  <c r="N4" i="1"/>
  <c r="O4" i="1" s="1"/>
  <c r="P4" i="1" s="1"/>
  <c r="R4" i="1" s="1"/>
  <c r="L4" i="1"/>
  <c r="K4" i="1"/>
  <c r="Q3" i="1" a="1"/>
  <c r="Q3" i="1" s="1"/>
  <c r="N3" i="1"/>
  <c r="O3" i="1" s="1"/>
  <c r="P3" i="1" s="1"/>
  <c r="R3" i="1" s="1"/>
  <c r="L3" i="1"/>
  <c r="K3" i="1"/>
  <c r="Q2" i="1"/>
  <c r="Q2" i="1" a="1"/>
  <c r="N2" i="1"/>
  <c r="O2" i="1" s="1"/>
  <c r="P2" i="1" s="1"/>
  <c r="R2" i="1" s="1"/>
  <c r="L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<sst xmlns="http://schemas.openxmlformats.org/spreadsheetml/2006/main" count="2541" uniqueCount="1861">
  <si>
    <t>Family Code</t>
  </si>
  <si>
    <t>Name</t>
  </si>
  <si>
    <t>Father Name</t>
  </si>
  <si>
    <t>Class</t>
  </si>
  <si>
    <t>Elder Child Section</t>
  </si>
  <si>
    <t>Count</t>
  </si>
  <si>
    <t>Contact #</t>
  </si>
  <si>
    <t>FeeMar</t>
  </si>
  <si>
    <t>MarTot</t>
  </si>
  <si>
    <t>MarPaid</t>
  </si>
  <si>
    <t>Balance</t>
  </si>
  <si>
    <t>Months</t>
  </si>
  <si>
    <t xml:space="preserve">Remaining Months Total </t>
  </si>
  <si>
    <t>Total Due</t>
  </si>
  <si>
    <t>Per Month</t>
  </si>
  <si>
    <t>PER MONTH</t>
  </si>
  <si>
    <t>Word</t>
  </si>
  <si>
    <t>After Due Date</t>
  </si>
  <si>
    <t>AprPaid</t>
  </si>
  <si>
    <t>MayPaid</t>
  </si>
  <si>
    <t>JunPaid</t>
  </si>
  <si>
    <t>JulPaid</t>
  </si>
  <si>
    <t>AugPaid</t>
  </si>
  <si>
    <t>SepPaid</t>
  </si>
  <si>
    <t>OctPaid</t>
  </si>
  <si>
    <t>NovPaid</t>
  </si>
  <si>
    <t>DecPaid</t>
  </si>
  <si>
    <t>JanPaid</t>
  </si>
  <si>
    <t>FebPaid</t>
  </si>
  <si>
    <t>Mar</t>
  </si>
  <si>
    <t>F001</t>
  </si>
  <si>
    <t>Mubashir, Umama</t>
  </si>
  <si>
    <t>M Nadeem</t>
  </si>
  <si>
    <t>G-07, G-03</t>
  </si>
  <si>
    <t>Boys</t>
  </si>
  <si>
    <t>0313-55 40 102</t>
  </si>
  <si>
    <t>F002</t>
  </si>
  <si>
    <t>Mahnoor,Haleema,Ayesha,Abdullah</t>
  </si>
  <si>
    <t>Awais Khan</t>
  </si>
  <si>
    <t>G-09,G-07,G-04,G-02</t>
  </si>
  <si>
    <t>Girls</t>
  </si>
  <si>
    <t>0310-18 85 928</t>
  </si>
  <si>
    <t>F003</t>
  </si>
  <si>
    <t>Rabia , Amina</t>
  </si>
  <si>
    <t>Ajmal Khan</t>
  </si>
  <si>
    <t>G-04,G-02</t>
  </si>
  <si>
    <t>F004</t>
  </si>
  <si>
    <t>Shaiza,Khawar Khan,Mirha</t>
  </si>
  <si>
    <t xml:space="preserve"> Tahir Nawaz Khan</t>
  </si>
  <si>
    <t>G-06,G-03,KG-02</t>
  </si>
  <si>
    <t>0342-09 68 786</t>
  </si>
  <si>
    <t>F005</t>
  </si>
  <si>
    <t>Aneeba Arif</t>
  </si>
  <si>
    <t>M Arif</t>
  </si>
  <si>
    <t>G-08</t>
  </si>
  <si>
    <t>0342-90 65 747</t>
  </si>
  <si>
    <t>F006</t>
  </si>
  <si>
    <t>M Qasim</t>
  </si>
  <si>
    <t>Azhar Mehmood</t>
  </si>
  <si>
    <t>0319-74 56 538</t>
  </si>
  <si>
    <t>F007</t>
  </si>
  <si>
    <t>Aiza,Aleeza</t>
  </si>
  <si>
    <t>Muhammad Asif</t>
  </si>
  <si>
    <t>G-11,G-08</t>
  </si>
  <si>
    <t>0318-40 56 394</t>
  </si>
  <si>
    <t>F008</t>
  </si>
  <si>
    <t>Fatima Khalid, Abdullah</t>
  </si>
  <si>
    <t>Khalid-Mehmood</t>
  </si>
  <si>
    <t>G-11,G-10</t>
  </si>
  <si>
    <t>0317-82 43 395</t>
  </si>
  <si>
    <t>F009</t>
  </si>
  <si>
    <t>Areesha,Aiza,Anus</t>
  </si>
  <si>
    <t>Yasir Arafat</t>
  </si>
  <si>
    <t>G-09,G-02,KG-03</t>
  </si>
  <si>
    <t>0300-91 16 301</t>
  </si>
  <si>
    <t>F010</t>
  </si>
  <si>
    <t>Sidra, Bisma</t>
  </si>
  <si>
    <t>A.Majid</t>
  </si>
  <si>
    <t>G-08, KG-03</t>
  </si>
  <si>
    <t>0312-97 23 922</t>
  </si>
  <si>
    <t>F011</t>
  </si>
  <si>
    <t>Farhan</t>
  </si>
  <si>
    <t>M.Shafi</t>
  </si>
  <si>
    <t>G-10</t>
  </si>
  <si>
    <t>0315-58 27 330</t>
  </si>
  <si>
    <t>F012</t>
  </si>
  <si>
    <t>Muqaddas Haleema,Haider,Hania Tahir</t>
  </si>
  <si>
    <t>M.Tahir</t>
  </si>
  <si>
    <t>G-11,G-07,KG-02</t>
  </si>
  <si>
    <t>0311-93 88 232</t>
  </si>
  <si>
    <t>F013</t>
  </si>
  <si>
    <t>Kinza</t>
  </si>
  <si>
    <t>Sarfaraz</t>
  </si>
  <si>
    <t>G-07</t>
  </si>
  <si>
    <t>0306-93 56 876</t>
  </si>
  <si>
    <t>F014</t>
  </si>
  <si>
    <t>Rabia</t>
  </si>
  <si>
    <t>Pervaiz</t>
  </si>
  <si>
    <t>0310-05 53 992</t>
  </si>
  <si>
    <t>F015</t>
  </si>
  <si>
    <t>Abdullah Raza, Muhammad Husnain</t>
  </si>
  <si>
    <t>Raza Ahmed</t>
  </si>
  <si>
    <t>G-10,KG-01</t>
  </si>
  <si>
    <t>0321-23 71 682</t>
  </si>
  <si>
    <t>F016</t>
  </si>
  <si>
    <t>Raheel, Mubashir</t>
  </si>
  <si>
    <t>Azhar Iqbal</t>
  </si>
  <si>
    <t>G-09, G-08</t>
  </si>
  <si>
    <t>0318-15 82 217</t>
  </si>
  <si>
    <t>F017</t>
  </si>
  <si>
    <t>Shaheer, Naseer</t>
  </si>
  <si>
    <t>Ibrar Ahmed</t>
  </si>
  <si>
    <t>G-09, G-06</t>
  </si>
  <si>
    <t>0316-97 19 965</t>
  </si>
  <si>
    <t>F018</t>
  </si>
  <si>
    <t>Sibgha,Hania, Ajwa, Essa</t>
  </si>
  <si>
    <t>Sajid Mehmood</t>
  </si>
  <si>
    <t>G-11,G-04, G-02, KG-02</t>
  </si>
  <si>
    <t>0300-5147772</t>
  </si>
  <si>
    <t>F019</t>
  </si>
  <si>
    <t>Bakhtawar,Sharjeel</t>
  </si>
  <si>
    <t>Chanzaib Khan</t>
  </si>
  <si>
    <t>G-10, G-08,G-06</t>
  </si>
  <si>
    <t>0310-53 46 961</t>
  </si>
  <si>
    <t>F020</t>
  </si>
  <si>
    <t>Laiba,Uzaifa, Areeba, Abdullah, Hamza</t>
  </si>
  <si>
    <t>Riaz khan</t>
  </si>
  <si>
    <t>G-11,G-09, G-06, G-04, G-01</t>
  </si>
  <si>
    <t>0310-52 80 202</t>
  </si>
  <si>
    <t>F021</t>
  </si>
  <si>
    <t>Ramish,Zianab, Abdullah, Fatima, Zain, Noor-E-Haram</t>
  </si>
  <si>
    <t>Umair khan</t>
  </si>
  <si>
    <t>G-11,G-10, G-08, G-05, G-01, KG-03</t>
  </si>
  <si>
    <t>0313-58 91 909</t>
  </si>
  <si>
    <t>F022</t>
  </si>
  <si>
    <t>Obaid Ullah, Fatiha,Anjam,Anaya,Ibraheem</t>
  </si>
  <si>
    <t>M. Ziafat</t>
  </si>
  <si>
    <t>G-09,G-07,G-04,G-02,KG-02</t>
  </si>
  <si>
    <t>0310-10 56 146</t>
  </si>
  <si>
    <t>F023</t>
  </si>
  <si>
    <t>Abdullah Anwar</t>
  </si>
  <si>
    <t>Anwar</t>
  </si>
  <si>
    <t>0318-81 05 917</t>
  </si>
  <si>
    <t>F024</t>
  </si>
  <si>
    <t>Ume Kalsoom,Noor-e-Haram</t>
  </si>
  <si>
    <t>M.Sagheer</t>
  </si>
  <si>
    <t>G-11 G-05</t>
  </si>
  <si>
    <t>0319-47 65 792</t>
  </si>
  <si>
    <t>F025</t>
  </si>
  <si>
    <t>Saffa</t>
  </si>
  <si>
    <t>Mushtaq Ahmed</t>
  </si>
  <si>
    <t>G-05</t>
  </si>
  <si>
    <t>0301-55 51 465</t>
  </si>
  <si>
    <t>F026</t>
  </si>
  <si>
    <t>Syed Areeb, Syed Farhat,Syed Qalbi, Syed Aroosh</t>
  </si>
  <si>
    <t>Syed Saeed</t>
  </si>
  <si>
    <t>G-08,G-07,G-03,KG-02</t>
  </si>
  <si>
    <t>0311-56 33 035</t>
  </si>
  <si>
    <t>F027</t>
  </si>
  <si>
    <t>Ayesha</t>
  </si>
  <si>
    <t>M.Saeed</t>
  </si>
  <si>
    <t>0310-95 43 797</t>
  </si>
  <si>
    <t>F028</t>
  </si>
  <si>
    <t>Obaidullah</t>
  </si>
  <si>
    <t>M.Rasheed</t>
  </si>
  <si>
    <t>0302-56 11 021</t>
  </si>
  <si>
    <t>F029</t>
  </si>
  <si>
    <t>Tayyab</t>
  </si>
  <si>
    <t>M.Ilyas</t>
  </si>
  <si>
    <t>0313-58 92 458</t>
  </si>
  <si>
    <t>F030</t>
  </si>
  <si>
    <t>Awais</t>
  </si>
  <si>
    <t>Habib-ur-Rehman</t>
  </si>
  <si>
    <t>0334-87 66 012</t>
  </si>
  <si>
    <t>F031</t>
  </si>
  <si>
    <t>Haleema</t>
  </si>
  <si>
    <t>M.Nawaz</t>
  </si>
  <si>
    <t>0306-59 73 253</t>
  </si>
  <si>
    <t>F032</t>
  </si>
  <si>
    <t>Hussan, Mehirma</t>
  </si>
  <si>
    <t>Anayat Ali</t>
  </si>
  <si>
    <t>G-10, KG-02</t>
  </si>
  <si>
    <t>0315-58 65 766</t>
  </si>
  <si>
    <t>F033</t>
  </si>
  <si>
    <t>Umama</t>
  </si>
  <si>
    <t>Mukhtar Ahmed</t>
  </si>
  <si>
    <t>0312-59 30 262</t>
  </si>
  <si>
    <t>F034</t>
  </si>
  <si>
    <t>Eman</t>
  </si>
  <si>
    <t>Riaz Ahmed</t>
  </si>
  <si>
    <t>0301-57 22 228</t>
  </si>
  <si>
    <t>F035</t>
  </si>
  <si>
    <t>Mahaz</t>
  </si>
  <si>
    <t>Naeem Gul</t>
  </si>
  <si>
    <t>0310-15 74 581</t>
  </si>
  <si>
    <t>F036</t>
  </si>
  <si>
    <t>Momina Sheikh</t>
  </si>
  <si>
    <t>Faheem Sheikh</t>
  </si>
  <si>
    <t>0306-89 63 133</t>
  </si>
  <si>
    <t>F037</t>
  </si>
  <si>
    <t>Rania, Abdul Hadi</t>
  </si>
  <si>
    <t>M Tariq</t>
  </si>
  <si>
    <t>G-10, KG-03</t>
  </si>
  <si>
    <t>0319-31 12 327</t>
  </si>
  <si>
    <t>F038</t>
  </si>
  <si>
    <t>Anab, Saddiqa</t>
  </si>
  <si>
    <t>Ayaz Ahmed</t>
  </si>
  <si>
    <t>G-10, G-08</t>
  </si>
  <si>
    <t>0334-81 17 780</t>
  </si>
  <si>
    <t>F039</t>
  </si>
  <si>
    <t>Khuzaima, Uzaifa</t>
  </si>
  <si>
    <t>M.Arshad</t>
  </si>
  <si>
    <t>0310-90 81 546</t>
  </si>
  <si>
    <t>F040</t>
  </si>
  <si>
    <t>Ayesha khan</t>
  </si>
  <si>
    <t>Awal Khan</t>
  </si>
  <si>
    <t>G-06</t>
  </si>
  <si>
    <t>0319-22 57 199</t>
  </si>
  <si>
    <t>F041</t>
  </si>
  <si>
    <t>Sami Ullah, Wajiha Shahenn, Abdul Hadi</t>
  </si>
  <si>
    <t>Khurshid Ahmed</t>
  </si>
  <si>
    <t xml:space="preserve"> G-10, G-10, G-04</t>
  </si>
  <si>
    <t>0316-51 07 735</t>
  </si>
  <si>
    <t>F042</t>
  </si>
  <si>
    <t>Khudija, Mughira, Hassan</t>
  </si>
  <si>
    <t>Naeem ul Haq</t>
  </si>
  <si>
    <t>G-10, G-08, G-02</t>
  </si>
  <si>
    <t>0314-08 64 361</t>
  </si>
  <si>
    <t>F043</t>
  </si>
  <si>
    <t>Momina,Mohiz,  Ayesha</t>
  </si>
  <si>
    <t>G-10, G-10, G-02</t>
  </si>
  <si>
    <t>0346--28 28 102</t>
  </si>
  <si>
    <t>F044</t>
  </si>
  <si>
    <t>Abubaker, Umer, Janat</t>
  </si>
  <si>
    <t>Irshad Abbasi</t>
  </si>
  <si>
    <t>G-10, G-07, G-05</t>
  </si>
  <si>
    <t>0311-55 10 889</t>
  </si>
  <si>
    <t>F045</t>
  </si>
  <si>
    <t>Sadaf, Aneeqa, Arfa</t>
  </si>
  <si>
    <t>Naeem Iqbal</t>
  </si>
  <si>
    <t>G-10, G-09, G-05</t>
  </si>
  <si>
    <t>0310-05 58 415</t>
  </si>
  <si>
    <t>F046</t>
  </si>
  <si>
    <t>Kashif, Atif, Ishimal</t>
  </si>
  <si>
    <t>0312-81 76 030</t>
  </si>
  <si>
    <t>F047</t>
  </si>
  <si>
    <t>Mahnoor, M. Abbas, M. Shabaz, Sher</t>
  </si>
  <si>
    <t>Riaz Khan</t>
  </si>
  <si>
    <t>G-10, G-06, G-05, G-03</t>
  </si>
  <si>
    <t>0315-85 87 648</t>
  </si>
  <si>
    <t>F048</t>
  </si>
  <si>
    <t>Samiullah, Sania, Saifullah, Amman, Aafia, Javeria</t>
  </si>
  <si>
    <t>M. Usman</t>
  </si>
  <si>
    <t>G-10, G-10, G-07, G-04, G-01, G-01</t>
  </si>
  <si>
    <t>0334-89 59 747</t>
  </si>
  <si>
    <t>F049</t>
  </si>
  <si>
    <t>Momina, Warda, Amina</t>
  </si>
  <si>
    <t>Faisal Khan</t>
  </si>
  <si>
    <t>G-10, G-07, G-03</t>
  </si>
  <si>
    <t>0310-50 03 128</t>
  </si>
  <si>
    <t>F050</t>
  </si>
  <si>
    <t>Sanaullah, Ayat</t>
  </si>
  <si>
    <t>M. Akhtar</t>
  </si>
  <si>
    <t>0345-95 74 437</t>
  </si>
  <si>
    <t>F051</t>
  </si>
  <si>
    <t>Huma</t>
  </si>
  <si>
    <t>Late Allah Ditta</t>
  </si>
  <si>
    <t>0307-55 39 194</t>
  </si>
  <si>
    <t>F052</t>
  </si>
  <si>
    <t>Azram Khan</t>
  </si>
  <si>
    <t>0313-59 14 372</t>
  </si>
  <si>
    <t>F053</t>
  </si>
  <si>
    <t>Hussan</t>
  </si>
  <si>
    <t>Tahir Nawaz Khan</t>
  </si>
  <si>
    <t>0315-50 90 670</t>
  </si>
  <si>
    <t>F054</t>
  </si>
  <si>
    <t>Shazaib</t>
  </si>
  <si>
    <t>Sardar Aurangzaib Khan</t>
  </si>
  <si>
    <t xml:space="preserve">0310-99 41 996 </t>
  </si>
  <si>
    <t>F055</t>
  </si>
  <si>
    <t>Zain</t>
  </si>
  <si>
    <t>Rasheed Ahmad</t>
  </si>
  <si>
    <t>G-09</t>
  </si>
  <si>
    <t>0312-93 22 149</t>
  </si>
  <si>
    <t>F056</t>
  </si>
  <si>
    <t>Khayam</t>
  </si>
  <si>
    <t>MUHAMMAD AFZAL</t>
  </si>
  <si>
    <t>0318-55 61 799</t>
  </si>
  <si>
    <t>F057</t>
  </si>
  <si>
    <t>Abdullah</t>
  </si>
  <si>
    <t>Safeer Ahmed</t>
  </si>
  <si>
    <t>0347-93 62 716</t>
  </si>
  <si>
    <t>F058</t>
  </si>
  <si>
    <t>Sara</t>
  </si>
  <si>
    <t>Waheed khan</t>
  </si>
  <si>
    <t>0310-15 61 354</t>
  </si>
  <si>
    <t>F059</t>
  </si>
  <si>
    <t>Gul Sher</t>
  </si>
  <si>
    <t>0314-933 13 58</t>
  </si>
  <si>
    <t>F060</t>
  </si>
  <si>
    <t>Sohrab, Saad</t>
  </si>
  <si>
    <t>Sarfaraz khan</t>
  </si>
  <si>
    <t>G-09, G-10</t>
  </si>
  <si>
    <t>0313-50 41 851</t>
  </si>
  <si>
    <t>F061</t>
  </si>
  <si>
    <t>Zoobia</t>
  </si>
  <si>
    <t>Sajid Khan</t>
  </si>
  <si>
    <t>0313-92 96 118</t>
  </si>
  <si>
    <t>F062</t>
  </si>
  <si>
    <t>Uzair</t>
  </si>
  <si>
    <t>Ashiq Elahi</t>
  </si>
  <si>
    <t>0310-53 54 315</t>
  </si>
  <si>
    <t>F063</t>
  </si>
  <si>
    <t>Mazhar Khan</t>
  </si>
  <si>
    <t>0319-62 96 869</t>
  </si>
  <si>
    <t>F064</t>
  </si>
  <si>
    <t>Basit</t>
  </si>
  <si>
    <t>jahanzaib khan</t>
  </si>
  <si>
    <t>0312-74 43 722</t>
  </si>
  <si>
    <t>F065</t>
  </si>
  <si>
    <t>Sher Ali, Ahmed Ali</t>
  </si>
  <si>
    <t>Iftikhar Ahmed</t>
  </si>
  <si>
    <t>0311-64 29 744</t>
  </si>
  <si>
    <t>F066</t>
  </si>
  <si>
    <t>Aiza</t>
  </si>
  <si>
    <t>Late Asad Khan</t>
  </si>
  <si>
    <t>0312-00 57 004</t>
  </si>
  <si>
    <t>F067</t>
  </si>
  <si>
    <t>Muneeba, Faiza</t>
  </si>
  <si>
    <t>Masood ur Rehman</t>
  </si>
  <si>
    <t>G-09, G-03</t>
  </si>
  <si>
    <t>0311-08 60 260</t>
  </si>
  <si>
    <t>F068</t>
  </si>
  <si>
    <t>Fiza</t>
  </si>
  <si>
    <t>M Basharat</t>
  </si>
  <si>
    <t>0334-96 40 976</t>
  </si>
  <si>
    <t>F069</t>
  </si>
  <si>
    <t>M. Husnain</t>
  </si>
  <si>
    <t>Mumtaz</t>
  </si>
  <si>
    <t>0315-53 83 826</t>
  </si>
  <si>
    <t>F070</t>
  </si>
  <si>
    <t>Samiullah</t>
  </si>
  <si>
    <t>Masood-ur-Rehman</t>
  </si>
  <si>
    <t>0310-58 07 269</t>
  </si>
  <si>
    <t>F071</t>
  </si>
  <si>
    <t>Saad, Mahad</t>
  </si>
  <si>
    <t>M. Javid</t>
  </si>
  <si>
    <t>G-09, G-05</t>
  </si>
  <si>
    <t>0320-96 21 894</t>
  </si>
  <si>
    <t>F072</t>
  </si>
  <si>
    <t>Sher, Mehir</t>
  </si>
  <si>
    <t>Mehboob</t>
  </si>
  <si>
    <t>G-09, G-01</t>
  </si>
  <si>
    <t>0316-94 34 311</t>
  </si>
  <si>
    <t>F073</t>
  </si>
  <si>
    <t>Azeem, Aneesa, Abdul Raheem</t>
  </si>
  <si>
    <t>Shabbir Ahmed</t>
  </si>
  <si>
    <t>G-09, G-08, G-03</t>
  </si>
  <si>
    <t>0319-30 94 410</t>
  </si>
  <si>
    <t>F074</t>
  </si>
  <si>
    <t>Sehir Noor, Roshan Abdullah</t>
  </si>
  <si>
    <t>Khalid Khan</t>
  </si>
  <si>
    <t>G-11,G-09</t>
  </si>
  <si>
    <t>0331-57 31 638</t>
  </si>
  <si>
    <t>F075</t>
  </si>
  <si>
    <t>Adina, Essa</t>
  </si>
  <si>
    <t>Qazafi</t>
  </si>
  <si>
    <t>F076</t>
  </si>
  <si>
    <t>Shams, Abdur Rehman</t>
  </si>
  <si>
    <t>Chanzaib Awan</t>
  </si>
  <si>
    <t>0316-98 12 698</t>
  </si>
  <si>
    <t>F077</t>
  </si>
  <si>
    <t>Amina, Hoorain</t>
  </si>
  <si>
    <t>Liaqat Wali</t>
  </si>
  <si>
    <t>0314-09 20 602</t>
  </si>
  <si>
    <t>F078</t>
  </si>
  <si>
    <t>Muhaib, Wareesha</t>
  </si>
  <si>
    <t>Mehirban Ali</t>
  </si>
  <si>
    <t>0312-19 66 497</t>
  </si>
  <si>
    <t>F079</t>
  </si>
  <si>
    <t>M. Husnain, Hussan, Ayesha</t>
  </si>
  <si>
    <t>Faisal Shezad</t>
  </si>
  <si>
    <t>G-09, G-05, KG-3</t>
  </si>
  <si>
    <t>0320-58 18 821</t>
  </si>
  <si>
    <t>F080</t>
  </si>
  <si>
    <t>Ibraheem, Muneeba ( Fee 5000 2026-27)</t>
  </si>
  <si>
    <t>Syed Imran Khazi</t>
  </si>
  <si>
    <t>G-08, G-05</t>
  </si>
  <si>
    <t>0345-53 66 151</t>
  </si>
  <si>
    <t>F081</t>
  </si>
  <si>
    <t>Shaheer, Hamza</t>
  </si>
  <si>
    <t>M.Zahid</t>
  </si>
  <si>
    <t>G-09, G-07, G-04</t>
  </si>
  <si>
    <t>0311-15 95 789</t>
  </si>
  <si>
    <t>F082</t>
  </si>
  <si>
    <t>Somavia, Mashab, Saad</t>
  </si>
  <si>
    <t>Zaheer Abbas</t>
  </si>
  <si>
    <t>G-09, G-08, G-04</t>
  </si>
  <si>
    <t>0336-15 27 805</t>
  </si>
  <si>
    <t>F083</t>
  </si>
  <si>
    <t>Hifza, Hammad, Saliha</t>
  </si>
  <si>
    <t>M.Shafique</t>
  </si>
  <si>
    <t>0316-85 18 556</t>
  </si>
  <si>
    <t>F084</t>
  </si>
  <si>
    <t>Momina, Kaleem, Abdullah</t>
  </si>
  <si>
    <t>Jamil Ahmed</t>
  </si>
  <si>
    <t>G-09, G-07, G-02</t>
  </si>
  <si>
    <t>F085</t>
  </si>
  <si>
    <t>Sawaira, Humera, Amina, Haider</t>
  </si>
  <si>
    <t>Altaf Ahmed</t>
  </si>
  <si>
    <t>G-09, G-05, G-02, KG-03</t>
  </si>
  <si>
    <t>0341-34 17 450</t>
  </si>
  <si>
    <t>F086</t>
  </si>
  <si>
    <t>Aman, Momina, Abdullah, Daniyal</t>
  </si>
  <si>
    <t>G-09, G-07, G-05, G-02</t>
  </si>
  <si>
    <t>0320-58 18 850</t>
  </si>
  <si>
    <t>F087</t>
  </si>
  <si>
    <t>Armish, Malala, Fatiha, Manail,Muhammad Zamin Khan</t>
  </si>
  <si>
    <t>Azam Khan</t>
  </si>
  <si>
    <t>G-09, G-07, G-04, G-02,KG-01</t>
  </si>
  <si>
    <t>0316-70 30 600</t>
  </si>
  <si>
    <t>F088</t>
  </si>
  <si>
    <t>Areeba, Wareesha, Abdullah, Noor-E-Haram, Hoorain</t>
  </si>
  <si>
    <t>Zia khan</t>
  </si>
  <si>
    <t>G-09, G-09, G-06, G-03, KG-03</t>
  </si>
  <si>
    <t>0315-56 31 575</t>
  </si>
  <si>
    <t>F089</t>
  </si>
  <si>
    <t>Manail, Mahnoor</t>
  </si>
  <si>
    <t>Shohib Khan</t>
  </si>
  <si>
    <t>G-09, G-02</t>
  </si>
  <si>
    <t>0312-60 74 892</t>
  </si>
  <si>
    <t>F090</t>
  </si>
  <si>
    <t>Muntaha Pervaiz</t>
  </si>
  <si>
    <t>M. Pervaiz</t>
  </si>
  <si>
    <t>G-11</t>
  </si>
  <si>
    <t>0302-51 63 993</t>
  </si>
  <si>
    <t>F091</t>
  </si>
  <si>
    <t>Khudija, Ali, Zain</t>
  </si>
  <si>
    <t>Nisar Ahmed</t>
  </si>
  <si>
    <t>G-09, G-08, KG-03</t>
  </si>
  <si>
    <t>0315-10 81 010</t>
  </si>
  <si>
    <t>F092</t>
  </si>
  <si>
    <t>Shaban</t>
  </si>
  <si>
    <t>0319-50 08 945</t>
  </si>
  <si>
    <t>F093</t>
  </si>
  <si>
    <t>Mohiz, Soban, Hoorain</t>
  </si>
  <si>
    <t>Sarfaraz Khan</t>
  </si>
  <si>
    <t>G-09, G-09,KG-02</t>
  </si>
  <si>
    <t>0344-32 40 402</t>
  </si>
  <si>
    <t>F094</t>
  </si>
  <si>
    <t>Aiman</t>
  </si>
  <si>
    <t>Abid Mehmood</t>
  </si>
  <si>
    <t>0310-58 60 488</t>
  </si>
  <si>
    <t>F095</t>
  </si>
  <si>
    <t>Eman, Taha, Abu, Wania</t>
  </si>
  <si>
    <t>Muhammad Saddique</t>
  </si>
  <si>
    <t>G-09, G-06, G-03, G-02</t>
  </si>
  <si>
    <t>0312-96 86 846</t>
  </si>
  <si>
    <t>F096</t>
  </si>
  <si>
    <t>Abdur Rauf</t>
  </si>
  <si>
    <t>Yasir khan</t>
  </si>
  <si>
    <t>0346-56 19 808</t>
  </si>
  <si>
    <t>F097</t>
  </si>
  <si>
    <t>M.Ali khan</t>
  </si>
  <si>
    <t>0344-11 82 794</t>
  </si>
  <si>
    <t>F098</t>
  </si>
  <si>
    <t>Abdul Hadi</t>
  </si>
  <si>
    <t>khanwaiz</t>
  </si>
  <si>
    <t>0316-24 82 813</t>
  </si>
  <si>
    <t>F099</t>
  </si>
  <si>
    <t>Mariyam</t>
  </si>
  <si>
    <t>M.Ismahil</t>
  </si>
  <si>
    <t>0311-72 69 155</t>
  </si>
  <si>
    <t>F100</t>
  </si>
  <si>
    <t>Atif</t>
  </si>
  <si>
    <t>Muhammad Gul Khan</t>
  </si>
  <si>
    <t>0314-50 79 125</t>
  </si>
  <si>
    <t>F101</t>
  </si>
  <si>
    <t>Ifra</t>
  </si>
  <si>
    <t>Sheraz Sarfraz</t>
  </si>
  <si>
    <t>0300-97 10 066</t>
  </si>
  <si>
    <t>F102</t>
  </si>
  <si>
    <t>Husnain Ali</t>
  </si>
  <si>
    <t>Muhammad Arshid</t>
  </si>
  <si>
    <t>0310-84 56 356</t>
  </si>
  <si>
    <t>F103</t>
  </si>
  <si>
    <t>Haider, Hamna, Aina</t>
  </si>
  <si>
    <t>Naeem Ahmed</t>
  </si>
  <si>
    <t>G-08, G-05, KG-02</t>
  </si>
  <si>
    <t>0310-08 60 538</t>
  </si>
  <si>
    <t>F104</t>
  </si>
  <si>
    <t>Mahnoor</t>
  </si>
  <si>
    <t>Gulnawaz</t>
  </si>
  <si>
    <t>G-01</t>
  </si>
  <si>
    <t>0311-56 58 887</t>
  </si>
  <si>
    <t>F105</t>
  </si>
  <si>
    <t>Shaheer, Sameer, Uzaifa, Muhammad Essa</t>
  </si>
  <si>
    <t>Zaheer Ahmed</t>
  </si>
  <si>
    <t>G-08, G-04, G-02, KG-02</t>
  </si>
  <si>
    <t>0312-31 32 159</t>
  </si>
  <si>
    <t>F106</t>
  </si>
  <si>
    <t>Amina, Ahmed , Gulshan,Romesa</t>
  </si>
  <si>
    <t>Tariq Mehmood</t>
  </si>
  <si>
    <t>G-08, G-07, G-02,KG-02</t>
  </si>
  <si>
    <t>0334-56 57 130</t>
  </si>
  <si>
    <t>F107</t>
  </si>
  <si>
    <t>Syeda Mateen Zahra,Syeda Binte Zahra</t>
  </si>
  <si>
    <t>Syed Nida Hussain Shah</t>
  </si>
  <si>
    <t>G-08,KG-03</t>
  </si>
  <si>
    <t>0314-08 80 365</t>
  </si>
  <si>
    <t>F108</t>
  </si>
  <si>
    <t>Amina, Suliman</t>
  </si>
  <si>
    <t>Yasir Mehmood</t>
  </si>
  <si>
    <t>G-08, G-04</t>
  </si>
  <si>
    <t>0331-58 56 476</t>
  </si>
  <si>
    <t>F109</t>
  </si>
  <si>
    <t>Faiza, Uswa</t>
  </si>
  <si>
    <t>Asif Shah</t>
  </si>
  <si>
    <t>G-08, G-06</t>
  </si>
  <si>
    <t>0318-03 87 887</t>
  </si>
  <si>
    <t>F110</t>
  </si>
  <si>
    <t>Shoaib, Aiza</t>
  </si>
  <si>
    <t>Junaid Khan</t>
  </si>
  <si>
    <t>0370-69 34 586</t>
  </si>
  <si>
    <t>F111</t>
  </si>
  <si>
    <t>Shamas u dua ,Zarwa</t>
  </si>
  <si>
    <t>Akhtar Nawaz</t>
  </si>
  <si>
    <t>G-08,G-03</t>
  </si>
  <si>
    <t>0318-37 90 377</t>
  </si>
  <si>
    <t>F112</t>
  </si>
  <si>
    <t>Suliman, Ayan</t>
  </si>
  <si>
    <t>Syed Waqar Haider</t>
  </si>
  <si>
    <t>G-08, G-02</t>
  </si>
  <si>
    <t>0318-59 58 350</t>
  </si>
  <si>
    <t>F113</t>
  </si>
  <si>
    <t>Rabia Noor, Ghulam, Samiullah, Jannat, Habib Ullah</t>
  </si>
  <si>
    <t>Muhammad Zahid</t>
  </si>
  <si>
    <t>G-11,G-08, G-08, G-1, KG-02</t>
  </si>
  <si>
    <t>0310-50 06 738</t>
  </si>
  <si>
    <t>F114</t>
  </si>
  <si>
    <t>Faris, Saim, Wania</t>
  </si>
  <si>
    <t>Hasrat khan</t>
  </si>
  <si>
    <t>G-08, G-07, G-05</t>
  </si>
  <si>
    <t>0316-08 83 066</t>
  </si>
  <si>
    <t>F115</t>
  </si>
  <si>
    <t>Ayan, Sufiyan, Umama</t>
  </si>
  <si>
    <t>Mussarat</t>
  </si>
  <si>
    <t>0315-44 74 967</t>
  </si>
  <si>
    <t>F116</t>
  </si>
  <si>
    <t>Abubaker, Taimoor, M. Ahmed</t>
  </si>
  <si>
    <t>Manzoor Elahi</t>
  </si>
  <si>
    <t>G-08, G-05, G-03</t>
  </si>
  <si>
    <t>0312-91 28 127</t>
  </si>
  <si>
    <t>F117</t>
  </si>
  <si>
    <t>Muhazzma, Uswa, Kousar, Mustafa</t>
  </si>
  <si>
    <t>Muhammad Ishtiaq</t>
  </si>
  <si>
    <t>G-08, G-05, G-03, G-01</t>
  </si>
  <si>
    <t>0300-59 97 518</t>
  </si>
  <si>
    <t>F118</t>
  </si>
  <si>
    <t>Saneesha Rehman</t>
  </si>
  <si>
    <t>Khurram Shazad</t>
  </si>
  <si>
    <t>0311-02 13 356</t>
  </si>
  <si>
    <t>F119</t>
  </si>
  <si>
    <t>Fahad</t>
  </si>
  <si>
    <t>Rafi Muhammad</t>
  </si>
  <si>
    <t>0312-92 19 605</t>
  </si>
  <si>
    <t>F120</t>
  </si>
  <si>
    <t>Samiullah, Aliyan</t>
  </si>
  <si>
    <t>Ramzan</t>
  </si>
  <si>
    <t>F121</t>
  </si>
  <si>
    <t>Menahil</t>
  </si>
  <si>
    <t>Haji Safeer</t>
  </si>
  <si>
    <t>0315-55 39 439</t>
  </si>
  <si>
    <t>F122</t>
  </si>
  <si>
    <t>Mahaz, Tehreem, Mehrab</t>
  </si>
  <si>
    <t>Iftikhar</t>
  </si>
  <si>
    <t>G-05, G-02, KG-03</t>
  </si>
  <si>
    <t>0317-03 52 002</t>
  </si>
  <si>
    <t>F123</t>
  </si>
  <si>
    <t>M. Talha</t>
  </si>
  <si>
    <t>M.Altaf</t>
  </si>
  <si>
    <t>0316-75 20 326</t>
  </si>
  <si>
    <t>F124</t>
  </si>
  <si>
    <t>Alishba</t>
  </si>
  <si>
    <t>0313-81 66 866</t>
  </si>
  <si>
    <t>F125</t>
  </si>
  <si>
    <t>Ali Hasan</t>
  </si>
  <si>
    <t>Yawar Kabeer</t>
  </si>
  <si>
    <t>0307-89 47 522</t>
  </si>
  <si>
    <t>F126</t>
  </si>
  <si>
    <t>Sudais</t>
  </si>
  <si>
    <t>Zubair</t>
  </si>
  <si>
    <t>0316-84 88 167</t>
  </si>
  <si>
    <t>F127</t>
  </si>
  <si>
    <t>Late Nasrullah</t>
  </si>
  <si>
    <t>0349-93 66 519</t>
  </si>
  <si>
    <t>F128</t>
  </si>
  <si>
    <t>Haris</t>
  </si>
  <si>
    <t>Sher Bahadar</t>
  </si>
  <si>
    <t>0311-37 96 340</t>
  </si>
  <si>
    <t>F129</t>
  </si>
  <si>
    <t>Ehsanullah</t>
  </si>
  <si>
    <t>Jafar khan</t>
  </si>
  <si>
    <t>0315-58 46 758</t>
  </si>
  <si>
    <t>F130</t>
  </si>
  <si>
    <t>Momina</t>
  </si>
  <si>
    <t>Sajjad Ahmed</t>
  </si>
  <si>
    <t>0349-26 39 667</t>
  </si>
  <si>
    <t>F131</t>
  </si>
  <si>
    <t>Hassan, Fatiha</t>
  </si>
  <si>
    <t>Muhammad Rasheed</t>
  </si>
  <si>
    <t>0348-85 13 132</t>
  </si>
  <si>
    <t>F132</t>
  </si>
  <si>
    <t>M. Ahmed, Ibraheem</t>
  </si>
  <si>
    <t>M.Mujtaba</t>
  </si>
  <si>
    <t>G-07, G-04</t>
  </si>
  <si>
    <t>0316-91 88 738</t>
  </si>
  <si>
    <t>F133</t>
  </si>
  <si>
    <t>Najeullah, Hoorain,zabiullah</t>
  </si>
  <si>
    <t>Adnan</t>
  </si>
  <si>
    <t>G-07, G-04,KG-02</t>
  </si>
  <si>
    <t>0325-93 45 065</t>
  </si>
  <si>
    <t>F134</t>
  </si>
  <si>
    <t>Abubaker, Zainab</t>
  </si>
  <si>
    <t>0322-57 41 795</t>
  </si>
  <si>
    <t>F135</t>
  </si>
  <si>
    <t>Haider</t>
  </si>
  <si>
    <t>Shernawaz khan</t>
  </si>
  <si>
    <t>0315-55 38 431</t>
  </si>
  <si>
    <t>F136</t>
  </si>
  <si>
    <t>Shuja, Yakhya</t>
  </si>
  <si>
    <t>Zubair Khan</t>
  </si>
  <si>
    <t>F137</t>
  </si>
  <si>
    <t>M. Ali, Ahmed Ali, Rehmat</t>
  </si>
  <si>
    <t>Muhammad Shafaqat</t>
  </si>
  <si>
    <t>G-07, G-03, KG-03</t>
  </si>
  <si>
    <t>0322-75 36 680</t>
  </si>
  <si>
    <t>F138</t>
  </si>
  <si>
    <t>Waleed, Khansa, Dua</t>
  </si>
  <si>
    <t>G-07, G-04, KG-03</t>
  </si>
  <si>
    <t>0344-51 90 237</t>
  </si>
  <si>
    <t>F139</t>
  </si>
  <si>
    <t>Zainab, Haider</t>
  </si>
  <si>
    <t>G-07, G-02</t>
  </si>
  <si>
    <t>0312-53 49 517</t>
  </si>
  <si>
    <t>F140</t>
  </si>
  <si>
    <t>Arooba</t>
  </si>
  <si>
    <t>Ateeq ur Rehman</t>
  </si>
  <si>
    <t>0316-54 00 837</t>
  </si>
  <si>
    <t>F141</t>
  </si>
  <si>
    <t>Shairyar, Yaseen</t>
  </si>
  <si>
    <t>M.Waseem</t>
  </si>
  <si>
    <t>G-07, G-05</t>
  </si>
  <si>
    <t>0345-50 62 314</t>
  </si>
  <si>
    <t>F142</t>
  </si>
  <si>
    <t>Abdul Hanan, Ikram, Tehseen</t>
  </si>
  <si>
    <t>Shafique</t>
  </si>
  <si>
    <t>G-07, G-05, G-02</t>
  </si>
  <si>
    <t>0314-97 82 268</t>
  </si>
  <si>
    <t>F143</t>
  </si>
  <si>
    <t>Khizar, Abdul Hadi, Ali</t>
  </si>
  <si>
    <t>Shezad Ahmed</t>
  </si>
  <si>
    <t>G-07, G-04, G-02</t>
  </si>
  <si>
    <t>F144</t>
  </si>
  <si>
    <t>Abdul Hadi, Abdul Bari, Abdul Wasay</t>
  </si>
  <si>
    <t>M.Mushtaq</t>
  </si>
  <si>
    <t>0310-05 54 262</t>
  </si>
  <si>
    <t>F145</t>
  </si>
  <si>
    <t>Abdullah, Ibraheem, Hareem</t>
  </si>
  <si>
    <t>Yasir Iqbal</t>
  </si>
  <si>
    <t>G-07, G-03, G-01</t>
  </si>
  <si>
    <t>0302-5164157</t>
  </si>
  <si>
    <t>F146</t>
  </si>
  <si>
    <t>Tayyab,Fatima, Jannat, Nimra</t>
  </si>
  <si>
    <t>Gul Nawaz</t>
  </si>
  <si>
    <t>G-08,G-07, G-03, G-02</t>
  </si>
  <si>
    <t>0316-18 99 205</t>
  </si>
  <si>
    <t>F147</t>
  </si>
  <si>
    <t>Hafeez</t>
  </si>
  <si>
    <t>Liaqat Khan</t>
  </si>
  <si>
    <t>0313-83 48 996</t>
  </si>
  <si>
    <t>F148</t>
  </si>
  <si>
    <t>Wajid Mehmood</t>
  </si>
  <si>
    <t>0321-95 44 888</t>
  </si>
  <si>
    <t>F149</t>
  </si>
  <si>
    <t>Mariyam, Hussain</t>
  </si>
  <si>
    <t>Kushnawaz</t>
  </si>
  <si>
    <t>G-06, G-02</t>
  </si>
  <si>
    <t>0322-73 76 811</t>
  </si>
  <si>
    <t>F150</t>
  </si>
  <si>
    <t>Anhamta, M. Ayan,M Arham</t>
  </si>
  <si>
    <t>Rashid Mehmood</t>
  </si>
  <si>
    <t>G-06, G-02,KG-02</t>
  </si>
  <si>
    <t>0307-57 96 131</t>
  </si>
  <si>
    <t>F151</t>
  </si>
  <si>
    <t>Bilal Raza</t>
  </si>
  <si>
    <t>Mufti Azhar Ali</t>
  </si>
  <si>
    <t>KG-02</t>
  </si>
  <si>
    <t>0311-16 89 419</t>
  </si>
  <si>
    <t>F152</t>
  </si>
  <si>
    <t>M Khurshid</t>
  </si>
  <si>
    <t>0313-50 09 806</t>
  </si>
  <si>
    <t>F153</t>
  </si>
  <si>
    <t>Abdul Nafay</t>
  </si>
  <si>
    <t>Qazi Javid</t>
  </si>
  <si>
    <t>0316-88 10 015</t>
  </si>
  <si>
    <t>F154</t>
  </si>
  <si>
    <t/>
  </si>
  <si>
    <t>0316-94 32 493</t>
  </si>
  <si>
    <t>F155</t>
  </si>
  <si>
    <t>Uzair Khan</t>
  </si>
  <si>
    <t>Fiaz Khan</t>
  </si>
  <si>
    <t>0319-84 62 070</t>
  </si>
  <si>
    <t>F156</t>
  </si>
  <si>
    <t>Mubashir, Muddasir</t>
  </si>
  <si>
    <t>M.Asif</t>
  </si>
  <si>
    <t xml:space="preserve"> G-02, G-01</t>
  </si>
  <si>
    <t>0311-65 09 730</t>
  </si>
  <si>
    <t>F157</t>
  </si>
  <si>
    <t>Manail, Eishal, Mehrab</t>
  </si>
  <si>
    <t>M. Yasir</t>
  </si>
  <si>
    <t>G-06, G-05, G-02</t>
  </si>
  <si>
    <t>0308-89 78 394</t>
  </si>
  <si>
    <t>F158</t>
  </si>
  <si>
    <t>Aman, Qaswa, Meerab</t>
  </si>
  <si>
    <t>Fazal ur Rehman</t>
  </si>
  <si>
    <t>G-06, KG-03, KG-02</t>
  </si>
  <si>
    <t>F159</t>
  </si>
  <si>
    <t>M.Arham, Anmol</t>
  </si>
  <si>
    <t>Zahir Muhammad</t>
  </si>
  <si>
    <t>G-04, KG-03</t>
  </si>
  <si>
    <t>0308-88 09 271</t>
  </si>
  <si>
    <t>F160</t>
  </si>
  <si>
    <t>Munawar</t>
  </si>
  <si>
    <t>0302-49 50 942</t>
  </si>
  <si>
    <t>F161</t>
  </si>
  <si>
    <t>Tayyab,Hoorain,Hassan</t>
  </si>
  <si>
    <t>M.Farooq</t>
  </si>
  <si>
    <t>G-04,KG-02,KG-02</t>
  </si>
  <si>
    <t>0333-50 81 762</t>
  </si>
  <si>
    <t>F162</t>
  </si>
  <si>
    <t>Ishmal,Kashmala,Zarlish</t>
  </si>
  <si>
    <t>Mazhar Iqbal</t>
  </si>
  <si>
    <t>G-06,KG-02,KG-02</t>
  </si>
  <si>
    <t>0315-69 67 771</t>
  </si>
  <si>
    <t>F163</t>
  </si>
  <si>
    <t>Hashir, Azan</t>
  </si>
  <si>
    <t>Rizwan Khan</t>
  </si>
  <si>
    <t>G-05,G-03</t>
  </si>
  <si>
    <t>0316-08 83 149</t>
  </si>
  <si>
    <t>F164</t>
  </si>
  <si>
    <t>Alamzaib, Roquia</t>
  </si>
  <si>
    <t>Shakoor Ahmed</t>
  </si>
  <si>
    <t>G-06, G-03</t>
  </si>
  <si>
    <t>F165</t>
  </si>
  <si>
    <t>Azan Ali</t>
  </si>
  <si>
    <t>0343-89 11 905</t>
  </si>
  <si>
    <t>F166</t>
  </si>
  <si>
    <t>Khola Qasim</t>
  </si>
  <si>
    <t>Muhammad Qasim</t>
  </si>
  <si>
    <t>0317-51 55 627</t>
  </si>
  <si>
    <t>F167</t>
  </si>
  <si>
    <t>Insha, Hamid</t>
  </si>
  <si>
    <t>Amir Khan</t>
  </si>
  <si>
    <t>G-05,KG-02</t>
  </si>
  <si>
    <t>0316-50 16 901</t>
  </si>
  <si>
    <t>F168</t>
  </si>
  <si>
    <t>Haram, Zainab</t>
  </si>
  <si>
    <t>Muhammad Nawaz</t>
  </si>
  <si>
    <t>G-06,KG-03</t>
  </si>
  <si>
    <t>0319-25 83 144</t>
  </si>
  <si>
    <t>F169</t>
  </si>
  <si>
    <t>Areeba, Sameer</t>
  </si>
  <si>
    <t>G-06, G-06</t>
  </si>
  <si>
    <t>0310-15 36 920</t>
  </si>
  <si>
    <t>F170</t>
  </si>
  <si>
    <t>Abdullah, Abdul Wasay</t>
  </si>
  <si>
    <t>M.Ali</t>
  </si>
  <si>
    <t>G-06, G-01</t>
  </si>
  <si>
    <t>0312-15 95 794</t>
  </si>
  <si>
    <t>F171</t>
  </si>
  <si>
    <t>Subban, Hamdan</t>
  </si>
  <si>
    <t>Shafqat Ali</t>
  </si>
  <si>
    <t>0300-23 17 170</t>
  </si>
  <si>
    <t>F172</t>
  </si>
  <si>
    <t>Ayesha, Adullah</t>
  </si>
  <si>
    <t>Amir</t>
  </si>
  <si>
    <t>G-06, G-04</t>
  </si>
  <si>
    <t>0317-83 43 244</t>
  </si>
  <si>
    <t>F173</t>
  </si>
  <si>
    <t>Dawood, Abdullah</t>
  </si>
  <si>
    <t>0316-08 83 080</t>
  </si>
  <si>
    <t>F174</t>
  </si>
  <si>
    <t>Fahad, Jawad</t>
  </si>
  <si>
    <t>G-04, G-02</t>
  </si>
  <si>
    <t>0331-57 13 100</t>
  </si>
  <si>
    <t>F175</t>
  </si>
  <si>
    <t>Shamsa, Ayesha, Yahqoob</t>
  </si>
  <si>
    <t>Aftab Ahmed</t>
  </si>
  <si>
    <t>G-06, G-02, G-01</t>
  </si>
  <si>
    <t>0315-55 39 129</t>
  </si>
  <si>
    <t>F176</t>
  </si>
  <si>
    <t>Farukh, Hazzam, Zarish</t>
  </si>
  <si>
    <t>Fridoon Khan</t>
  </si>
  <si>
    <t>0310-56 59 560</t>
  </si>
  <si>
    <t>F177</t>
  </si>
  <si>
    <t>Aiza Waqar, Aiman, Hafsa, Kalsoom</t>
  </si>
  <si>
    <t>Waqar Ahmed</t>
  </si>
  <si>
    <t>G-06, G-02, G-02, G-02</t>
  </si>
  <si>
    <t>0331-92 97 902</t>
  </si>
  <si>
    <t>F178</t>
  </si>
  <si>
    <t>Saifullah, Husnain</t>
  </si>
  <si>
    <t>M. Imran</t>
  </si>
  <si>
    <t>0313-59 65 460</t>
  </si>
  <si>
    <t>F179</t>
  </si>
  <si>
    <t>Subhan, Yakhya</t>
  </si>
  <si>
    <t>M Zafar</t>
  </si>
  <si>
    <t>0316-94 34 408</t>
  </si>
  <si>
    <t>F180</t>
  </si>
  <si>
    <t>Ahmed Ali</t>
  </si>
  <si>
    <t>M Farooq kasi</t>
  </si>
  <si>
    <t>F181</t>
  </si>
  <si>
    <t>Bushira</t>
  </si>
  <si>
    <t>Mohsin</t>
  </si>
  <si>
    <t>0316-51 54 914</t>
  </si>
  <si>
    <t>F182</t>
  </si>
  <si>
    <t>Ikhlas, Mehirma, Atta</t>
  </si>
  <si>
    <t>G-04, G-04, KG-02</t>
  </si>
  <si>
    <t>F183</t>
  </si>
  <si>
    <t>Manail, Ahmed Tahir</t>
  </si>
  <si>
    <t>Muhammad Tahir</t>
  </si>
  <si>
    <t>G-05, G-02</t>
  </si>
  <si>
    <t>0324-17 22 108</t>
  </si>
  <si>
    <t>F184</t>
  </si>
  <si>
    <t>Kaleemullah, Fiza, Husnain</t>
  </si>
  <si>
    <t>G-05, G-01,KG-02</t>
  </si>
  <si>
    <t>0318-52 48 301</t>
  </si>
  <si>
    <t>F185</t>
  </si>
  <si>
    <t>Ajwa</t>
  </si>
  <si>
    <t>Habib ur Rehman</t>
  </si>
  <si>
    <t>0313-55 01 828</t>
  </si>
  <si>
    <t>F186</t>
  </si>
  <si>
    <t>M.Hanif</t>
  </si>
  <si>
    <t>F187</t>
  </si>
  <si>
    <t>Eishal, Shazain</t>
  </si>
  <si>
    <t>Waseem Ahmed</t>
  </si>
  <si>
    <t>G-05, KG-02</t>
  </si>
  <si>
    <t>0312-55 38 165</t>
  </si>
  <si>
    <t>F188</t>
  </si>
  <si>
    <t>Abdul Muneeb</t>
  </si>
  <si>
    <t>G-05(2025)</t>
  </si>
  <si>
    <t>0370-92 18 258</t>
  </si>
  <si>
    <t>F189</t>
  </si>
  <si>
    <t>Azka</t>
  </si>
  <si>
    <t>Saif ur Rehman</t>
  </si>
  <si>
    <t>0316-57 76 283</t>
  </si>
  <si>
    <t>F190</t>
  </si>
  <si>
    <t>Qasim</t>
  </si>
  <si>
    <t>Gulistan</t>
  </si>
  <si>
    <t>0316-91 96 045</t>
  </si>
  <si>
    <t>F191</t>
  </si>
  <si>
    <t>Uzaifa</t>
  </si>
  <si>
    <t>Chanvaiz</t>
  </si>
  <si>
    <t xml:space="preserve">0321-99 60 747 </t>
  </si>
  <si>
    <t>F192</t>
  </si>
  <si>
    <t>Zeeshan, Arfa</t>
  </si>
  <si>
    <t>Muhammad Sajjad</t>
  </si>
  <si>
    <t>0348-97 22 028</t>
  </si>
  <si>
    <t>F193</t>
  </si>
  <si>
    <t>Noor, Abdullah, Saifullah</t>
  </si>
  <si>
    <t>M.Rafique</t>
  </si>
  <si>
    <t>G-05, G-03, G-01</t>
  </si>
  <si>
    <t>0334-85 17 590</t>
  </si>
  <si>
    <t>F194</t>
  </si>
  <si>
    <t>Noor, Khawar,Hussain</t>
  </si>
  <si>
    <t>Afnan Sharif</t>
  </si>
  <si>
    <t>G-05, G-01,KG-01</t>
  </si>
  <si>
    <t>0314-97 94 759</t>
  </si>
  <si>
    <t>F195</t>
  </si>
  <si>
    <t>Talha, Anaya, Sawera</t>
  </si>
  <si>
    <t>M.Imran</t>
  </si>
  <si>
    <t>G-05, G-02, G-01</t>
  </si>
  <si>
    <t>0312-08 81 895</t>
  </si>
  <si>
    <t>F196</t>
  </si>
  <si>
    <t>Manahil, Mudassar</t>
  </si>
  <si>
    <t>Thair Iqbal</t>
  </si>
  <si>
    <t xml:space="preserve">0312-54 45 511 </t>
  </si>
  <si>
    <t>F197</t>
  </si>
  <si>
    <t>Mohazam, Moiz, Essa</t>
  </si>
  <si>
    <t>Javid Khan</t>
  </si>
  <si>
    <t>0312-59 25 810</t>
  </si>
  <si>
    <t>F198</t>
  </si>
  <si>
    <t>M. Zakria</t>
  </si>
  <si>
    <t>Shahid Mehmood</t>
  </si>
  <si>
    <t>F199</t>
  </si>
  <si>
    <t>Hifza</t>
  </si>
  <si>
    <t>M. Mushtaq</t>
  </si>
  <si>
    <t>0341-92 48 500</t>
  </si>
  <si>
    <t>F200</t>
  </si>
  <si>
    <t>Amina</t>
  </si>
  <si>
    <t>0320-90 96 511</t>
  </si>
  <si>
    <t>F201</t>
  </si>
  <si>
    <t>Marwa, Salwa, Ismail,Ibrahim</t>
  </si>
  <si>
    <t>Late Shahid</t>
  </si>
  <si>
    <t>G-05, G-05, KG-03,kG01</t>
  </si>
  <si>
    <t>0313-54 05 872</t>
  </si>
  <si>
    <t>F202</t>
  </si>
  <si>
    <t>Matloob Khan</t>
  </si>
  <si>
    <t>G-04</t>
  </si>
  <si>
    <t xml:space="preserve">0314-43 86 350 </t>
  </si>
  <si>
    <t>F203</t>
  </si>
  <si>
    <t>Yaseen</t>
  </si>
  <si>
    <t>M Faisal</t>
  </si>
  <si>
    <t>0311-97 19 841</t>
  </si>
  <si>
    <t>F204</t>
  </si>
  <si>
    <t>Daniyal</t>
  </si>
  <si>
    <t>0318-08 28 379</t>
  </si>
  <si>
    <t>F205</t>
  </si>
  <si>
    <t>Ehshal, Umer</t>
  </si>
  <si>
    <t>Niabat Ali</t>
  </si>
  <si>
    <t>0311-57 26 916 
0310-05 58 276</t>
  </si>
  <si>
    <t>F206</t>
  </si>
  <si>
    <t>Anaya, Uswa</t>
  </si>
  <si>
    <t>Arshad Khan</t>
  </si>
  <si>
    <t>F207</t>
  </si>
  <si>
    <t>Abdul Wasay, AbdulFateh</t>
  </si>
  <si>
    <t>Abdul Basit</t>
  </si>
  <si>
    <t>G-04, KG-02</t>
  </si>
  <si>
    <t>0316-52 91 153</t>
  </si>
  <si>
    <t>F208</t>
  </si>
  <si>
    <t>Anabia Jamil</t>
  </si>
  <si>
    <t>Jamil ur Rehman</t>
  </si>
  <si>
    <t>0344-94 19 392</t>
  </si>
  <si>
    <t>F209</t>
  </si>
  <si>
    <t>Abu, Umer</t>
  </si>
  <si>
    <t>Ishtiaq Ahmed</t>
  </si>
  <si>
    <t>0324-05 43 935</t>
  </si>
  <si>
    <t>F210</t>
  </si>
  <si>
    <t>M.Ishaq</t>
  </si>
  <si>
    <t>0332-52 44 548</t>
  </si>
  <si>
    <t>F211</t>
  </si>
  <si>
    <t>Bilal, Bilawal</t>
  </si>
  <si>
    <t>Mumtaz Ahmed</t>
  </si>
  <si>
    <t>0333-52 46 403</t>
  </si>
  <si>
    <t>F212</t>
  </si>
  <si>
    <t>Subhan</t>
  </si>
  <si>
    <t>fakhar nawaz</t>
  </si>
  <si>
    <t>0311-59 17 422</t>
  </si>
  <si>
    <t>F213</t>
  </si>
  <si>
    <t>Manail, Muskan</t>
  </si>
  <si>
    <t>Imran Gull</t>
  </si>
  <si>
    <t>G-04, G-01</t>
  </si>
  <si>
    <t>F214</t>
  </si>
  <si>
    <t>Zeeshan</t>
  </si>
  <si>
    <t>0315-86 72 765</t>
  </si>
  <si>
    <t>F215</t>
  </si>
  <si>
    <t>OUT</t>
  </si>
  <si>
    <t>F216</t>
  </si>
  <si>
    <t>Aima</t>
  </si>
  <si>
    <t>Azeem Ahmed</t>
  </si>
  <si>
    <t>0310-53 54 330</t>
  </si>
  <si>
    <t>F217</t>
  </si>
  <si>
    <t>Duaa, Adan, Eshal Hayat</t>
  </si>
  <si>
    <t>Tanveer Hayaat</t>
  </si>
  <si>
    <t>G-04, G-02, KG-02</t>
  </si>
  <si>
    <t>0310-94 44 355</t>
  </si>
  <si>
    <t>F218</t>
  </si>
  <si>
    <t>Abdul Rehman, Shaban</t>
  </si>
  <si>
    <t>Waseem Abbasi</t>
  </si>
  <si>
    <t>0315-51 86 643</t>
  </si>
  <si>
    <t>F219</t>
  </si>
  <si>
    <t>Dania, Abdul Mohiz, Tooba</t>
  </si>
  <si>
    <t>Khan Bahadar</t>
  </si>
  <si>
    <t>G-08, G-04, G-04</t>
  </si>
  <si>
    <t>0316-98 16 171</t>
  </si>
  <si>
    <t>F220</t>
  </si>
  <si>
    <t>Abdullah, M. Ghazan</t>
  </si>
  <si>
    <t>Ikhlaq Ahmed</t>
  </si>
  <si>
    <t>0321-19 30 988</t>
  </si>
  <si>
    <t>F221</t>
  </si>
  <si>
    <t xml:space="preserve">Eman, Ehtisham, Sorab </t>
  </si>
  <si>
    <t>G-04, G-01, KG-03</t>
  </si>
  <si>
    <t>0302-54 71 311</t>
  </si>
  <si>
    <t>F222</t>
  </si>
  <si>
    <t>Hammna, Anaish, Muhammad Nooh</t>
  </si>
  <si>
    <t>Waqas Ahmed</t>
  </si>
  <si>
    <t>G-04, G-01, KG-01</t>
  </si>
  <si>
    <t>0321-98 24 383</t>
  </si>
  <si>
    <t>F223</t>
  </si>
  <si>
    <t>Aareesha, M. Ali</t>
  </si>
  <si>
    <t>0310-15 62 680</t>
  </si>
  <si>
    <t>F224</t>
  </si>
  <si>
    <t>Noorain, Umaima</t>
  </si>
  <si>
    <t>0345-42 85 556</t>
  </si>
  <si>
    <t>F225</t>
  </si>
  <si>
    <t>0315-41 40 893</t>
  </si>
  <si>
    <t>F226</t>
  </si>
  <si>
    <t>Muskan, Musfira</t>
  </si>
  <si>
    <t>Mazhar</t>
  </si>
  <si>
    <t>0313-89 40 897</t>
  </si>
  <si>
    <t>F227</t>
  </si>
  <si>
    <t>Ayyan, Shayyan</t>
  </si>
  <si>
    <t>Zulfiqar</t>
  </si>
  <si>
    <t>G-04, G-03</t>
  </si>
  <si>
    <t>0316-53 63 174</t>
  </si>
  <si>
    <t>F228</t>
  </si>
  <si>
    <t>Hooria, Taimoor, Hadiya</t>
  </si>
  <si>
    <t>Israr Ahmed</t>
  </si>
  <si>
    <t>G-03, G-01, KG-03</t>
  </si>
  <si>
    <t>0303-50 48 353</t>
  </si>
  <si>
    <t>F229</t>
  </si>
  <si>
    <t>Alishba, Tooba</t>
  </si>
  <si>
    <t>Mujtaba</t>
  </si>
  <si>
    <t>0312-98 76 734</t>
  </si>
  <si>
    <t>F230</t>
  </si>
  <si>
    <t>Habibullah Khan</t>
  </si>
  <si>
    <t>Asad Khan</t>
  </si>
  <si>
    <t>G-03</t>
  </si>
  <si>
    <t>F231</t>
  </si>
  <si>
    <t>Ismail Shezad, Rehan Shezad</t>
  </si>
  <si>
    <t>0346--15 82 429</t>
  </si>
  <si>
    <t>F232</t>
  </si>
  <si>
    <t>Fizan</t>
  </si>
  <si>
    <t>Zahid Hussain</t>
  </si>
  <si>
    <t>0310-57 51 966</t>
  </si>
  <si>
    <t>F233</t>
  </si>
  <si>
    <t>Ibrahim Ishtiaq</t>
  </si>
  <si>
    <t>0316-15 82 429</t>
  </si>
  <si>
    <t>F235</t>
  </si>
  <si>
    <t>Mahnoor, Hussan</t>
  </si>
  <si>
    <t>M.Waheed</t>
  </si>
  <si>
    <t>G-03, KG-03</t>
  </si>
  <si>
    <t>0302-81 28 301</t>
  </si>
  <si>
    <t>F236</t>
  </si>
  <si>
    <t>Aayat, Abdul Hadi, Mahroosh</t>
  </si>
  <si>
    <t>Muhammad Rizwan</t>
  </si>
  <si>
    <t>0314-97 91 424</t>
  </si>
  <si>
    <t>F237</t>
  </si>
  <si>
    <t>Abid Hussain</t>
  </si>
  <si>
    <t>0341-38 91 631</t>
  </si>
  <si>
    <t>F238</t>
  </si>
  <si>
    <t>Arfa Ikhlaq, Naseer Haider</t>
  </si>
  <si>
    <t>Muhammad Ikhlaq</t>
  </si>
  <si>
    <t>0315-58 95 551</t>
  </si>
  <si>
    <t>F239</t>
  </si>
  <si>
    <t>Ayema</t>
  </si>
  <si>
    <t>M.Arif</t>
  </si>
  <si>
    <t>0315-59 05 390</t>
  </si>
  <si>
    <t>F240</t>
  </si>
  <si>
    <t>Anaya, Hussan, Sanaya, Hussain</t>
  </si>
  <si>
    <t>M. Faisal</t>
  </si>
  <si>
    <t>G-03, G-02, G-01,KG-02</t>
  </si>
  <si>
    <t>0310-99 03 625</t>
  </si>
  <si>
    <t>F241</t>
  </si>
  <si>
    <t>Hareem</t>
  </si>
  <si>
    <t>Mahad Khan</t>
  </si>
  <si>
    <t>0348-88 50 926</t>
  </si>
  <si>
    <t>F242</t>
  </si>
  <si>
    <t>Mariyam, Fatima, Anaya</t>
  </si>
  <si>
    <t>Jamshaid Khan</t>
  </si>
  <si>
    <t>G-03,G-03,G-01</t>
  </si>
  <si>
    <t>0314-93 31 358</t>
  </si>
  <si>
    <t>F243</t>
  </si>
  <si>
    <t>Shazadi Azka, Shazadi Arfa , Muhammad</t>
  </si>
  <si>
    <t>M.Yakhya</t>
  </si>
  <si>
    <t>0319-37 05 002</t>
  </si>
  <si>
    <t>F244</t>
  </si>
  <si>
    <t>Mishal</t>
  </si>
  <si>
    <t>Naeem Akhtar</t>
  </si>
  <si>
    <t>0311-58 03 566</t>
  </si>
  <si>
    <t>F245</t>
  </si>
  <si>
    <t>Muneeb</t>
  </si>
  <si>
    <t>Kousar Zaheer</t>
  </si>
  <si>
    <t>G-02</t>
  </si>
  <si>
    <t>0314-64 09 533</t>
  </si>
  <si>
    <t>F246</t>
  </si>
  <si>
    <t>Nawera</t>
  </si>
  <si>
    <t>Muhammad Wasib</t>
  </si>
  <si>
    <t>0334-94 97 901</t>
  </si>
  <si>
    <t>F247</t>
  </si>
  <si>
    <t>Raheem, Faria</t>
  </si>
  <si>
    <t>Fidas khan</t>
  </si>
  <si>
    <t>G-03, G-01</t>
  </si>
  <si>
    <t>0316-50 18 496</t>
  </si>
  <si>
    <t>F248</t>
  </si>
  <si>
    <t>Hussnain, Abdul Shafay</t>
  </si>
  <si>
    <t>M.Irfan</t>
  </si>
  <si>
    <t>0305-89 96 532</t>
  </si>
  <si>
    <t>F249</t>
  </si>
  <si>
    <t>Qusain</t>
  </si>
  <si>
    <t>Rehman Raza</t>
  </si>
  <si>
    <t>0310-58 54 875</t>
  </si>
  <si>
    <t>F250</t>
  </si>
  <si>
    <t>Kainat Hameed,Husnain</t>
  </si>
  <si>
    <t>Gull Hameed</t>
  </si>
  <si>
    <t>G-11,G-03</t>
  </si>
  <si>
    <t>0313-55 01 882</t>
  </si>
  <si>
    <t>F251</t>
  </si>
  <si>
    <t>Sanaullah, Ume Hania</t>
  </si>
  <si>
    <t>Afzal Ahmed</t>
  </si>
  <si>
    <t>0302-96 46 824</t>
  </si>
  <si>
    <t>F252</t>
  </si>
  <si>
    <t>Bilawal, Noor-E-Haram</t>
  </si>
  <si>
    <t>Tiamoor Khan</t>
  </si>
  <si>
    <t>0316-17 17 595</t>
  </si>
  <si>
    <t>F253</t>
  </si>
  <si>
    <t>Eassa, Shifa</t>
  </si>
  <si>
    <t>G-03, G-02</t>
  </si>
  <si>
    <t>0312-66 20 794</t>
  </si>
  <si>
    <t>F254</t>
  </si>
  <si>
    <t>Khizer, Eshal, Mishal</t>
  </si>
  <si>
    <t>Hafeez Ahmed</t>
  </si>
  <si>
    <t>G-03, G-02, G-02</t>
  </si>
  <si>
    <t>0315-33 24 462</t>
  </si>
  <si>
    <t>F255</t>
  </si>
  <si>
    <t>Muhammad Atif</t>
  </si>
  <si>
    <t>0310-86 96 285</t>
  </si>
  <si>
    <t>F256</t>
  </si>
  <si>
    <t>Siraat, Zikra</t>
  </si>
  <si>
    <t>Akash Rehman</t>
  </si>
  <si>
    <t>0312-50 77 019</t>
  </si>
  <si>
    <t>F257</t>
  </si>
  <si>
    <t>Abaad, Salwa</t>
  </si>
  <si>
    <t>Bohla Khan</t>
  </si>
  <si>
    <t>0311-55 81 719</t>
  </si>
  <si>
    <t>F258</t>
  </si>
  <si>
    <t>Arzo,Dilawer,Sajawal</t>
  </si>
  <si>
    <t>Naveed Ahmad</t>
  </si>
  <si>
    <t>G-03, G-01,KG-3</t>
  </si>
  <si>
    <t>0340-92 58 550</t>
  </si>
  <si>
    <t>F259</t>
  </si>
  <si>
    <t>Hoorain, Malika, Haider</t>
  </si>
  <si>
    <t>Ijaz</t>
  </si>
  <si>
    <t>G-03, G-02, KG-03</t>
  </si>
  <si>
    <t>0317-59 43 509</t>
  </si>
  <si>
    <t>F260</t>
  </si>
  <si>
    <t>0300-98 00 243</t>
  </si>
  <si>
    <t>F261</t>
  </si>
  <si>
    <t>Kala Khan</t>
  </si>
  <si>
    <t>0312-25 57 584</t>
  </si>
  <si>
    <t>F262</t>
  </si>
  <si>
    <t>Hassebullah</t>
  </si>
  <si>
    <t>Ghazi Khan</t>
  </si>
  <si>
    <t>0324-53 86 288</t>
  </si>
  <si>
    <t>F263</t>
  </si>
  <si>
    <t>Irha, Haram Ali Khan</t>
  </si>
  <si>
    <t>M. Zahid</t>
  </si>
  <si>
    <t>0336-99 23 981</t>
  </si>
  <si>
    <t>F264</t>
  </si>
  <si>
    <t>Fatima, Danish, Noor Fatima</t>
  </si>
  <si>
    <t>Nadeem Ahmed</t>
  </si>
  <si>
    <t>G-03, G-01, Kg-02</t>
  </si>
  <si>
    <t>0316-56 34 089</t>
  </si>
  <si>
    <t>F265</t>
  </si>
  <si>
    <t>Mehraj</t>
  </si>
  <si>
    <t>khushniaz</t>
  </si>
  <si>
    <t>KG-01</t>
  </si>
  <si>
    <t>0317-57 44 747</t>
  </si>
  <si>
    <t>F266</t>
  </si>
  <si>
    <t>Abdul Rehman, Noor ul Ain</t>
  </si>
  <si>
    <t>G-03, KG-02</t>
  </si>
  <si>
    <t>0345-94 77 846</t>
  </si>
  <si>
    <t>F267</t>
  </si>
  <si>
    <t>Abdul Moiz, M. Abdullah</t>
  </si>
  <si>
    <t>M. Zubair</t>
  </si>
  <si>
    <t>0317-33 73 186</t>
  </si>
  <si>
    <t>F268</t>
  </si>
  <si>
    <t>Rayyan Ali,Ayan, Anaya</t>
  </si>
  <si>
    <t>G-07,G-02, G-01</t>
  </si>
  <si>
    <t>0311-88 89 677</t>
  </si>
  <si>
    <t>F269</t>
  </si>
  <si>
    <t>Abid Ali</t>
  </si>
  <si>
    <t>0314-51 16 817</t>
  </si>
  <si>
    <t>F270</t>
  </si>
  <si>
    <t>Sawera Khan</t>
  </si>
  <si>
    <t>Phulnaiz</t>
  </si>
  <si>
    <t>0313-56 45 440</t>
  </si>
  <si>
    <t>F271</t>
  </si>
  <si>
    <t>M Ismail</t>
  </si>
  <si>
    <t>M Haroon</t>
  </si>
  <si>
    <t>0314-93 49 896</t>
  </si>
  <si>
    <t>F272</t>
  </si>
  <si>
    <t>M Haseeb,M  Naqeeb</t>
  </si>
  <si>
    <t>G-02, KG-02</t>
  </si>
  <si>
    <t>0312-03 89 677</t>
  </si>
  <si>
    <t>F273</t>
  </si>
  <si>
    <t>Abdullah Umer</t>
  </si>
  <si>
    <t>M umer</t>
  </si>
  <si>
    <t>0346-76 11 103</t>
  </si>
  <si>
    <t>F274</t>
  </si>
  <si>
    <t>M. Kashif, Hoorain</t>
  </si>
  <si>
    <t>0317-54 53 404</t>
  </si>
  <si>
    <t>F275</t>
  </si>
  <si>
    <t>Abid</t>
  </si>
  <si>
    <t>0319-17 90 907</t>
  </si>
  <si>
    <t>F276</t>
  </si>
  <si>
    <t>Abrish</t>
  </si>
  <si>
    <t>Ehsan Ali</t>
  </si>
  <si>
    <t>F277</t>
  </si>
  <si>
    <t>Abdul Wahid</t>
  </si>
  <si>
    <t>0318-15 56 075</t>
  </si>
  <si>
    <t>F278</t>
  </si>
  <si>
    <t>Abdul Moiz</t>
  </si>
  <si>
    <t>0346-91 08 087</t>
  </si>
  <si>
    <t>F279</t>
  </si>
  <si>
    <t>Fiza Altaf</t>
  </si>
  <si>
    <t>M. Azam</t>
  </si>
  <si>
    <t>0316-57 27 857</t>
  </si>
  <si>
    <t>F280</t>
  </si>
  <si>
    <t>Husnain Sethi</t>
  </si>
  <si>
    <t>Zahid Sethi</t>
  </si>
  <si>
    <t>00</t>
  </si>
  <si>
    <t>F281</t>
  </si>
  <si>
    <t>Zimal</t>
  </si>
  <si>
    <t>0310-93 78 042</t>
  </si>
  <si>
    <t>F282</t>
  </si>
  <si>
    <t>Ahmed Abubakar, Saad-ul-Mustafa</t>
  </si>
  <si>
    <t>Muhammad Sajid</t>
  </si>
  <si>
    <t>G-02,KG-01</t>
  </si>
  <si>
    <t>0318-55 10 526</t>
  </si>
  <si>
    <t>F283</t>
  </si>
  <si>
    <t>Abdul Salam, Zulnorain</t>
  </si>
  <si>
    <t>G-02, KG-03</t>
  </si>
  <si>
    <t>0309-59 58 898</t>
  </si>
  <si>
    <t>F284</t>
  </si>
  <si>
    <t>Warda, Ayesha</t>
  </si>
  <si>
    <t>Babar Sohail</t>
  </si>
  <si>
    <t>0300-97 51 795</t>
  </si>
  <si>
    <t>F285</t>
  </si>
  <si>
    <t>Masuhaf Khan</t>
  </si>
  <si>
    <t>Asif Khan</t>
  </si>
  <si>
    <t>0313-59 17 256</t>
  </si>
  <si>
    <t>F286</t>
  </si>
  <si>
    <t>Muhtashim</t>
  </si>
  <si>
    <t>Naeem Khan</t>
  </si>
  <si>
    <t>0312-98 07 758</t>
  </si>
  <si>
    <t>F287</t>
  </si>
  <si>
    <t>Kashaf,Hania</t>
  </si>
  <si>
    <t>M Naveed</t>
  </si>
  <si>
    <t>G-10.G-05</t>
  </si>
  <si>
    <t>0315-55 38 785</t>
  </si>
  <si>
    <t>F288</t>
  </si>
  <si>
    <t>M. Asim</t>
  </si>
  <si>
    <t>0316-83 86 032</t>
  </si>
  <si>
    <t>F289</t>
  </si>
  <si>
    <t>Adan, Subhan</t>
  </si>
  <si>
    <t>Sajid Mehboob Elahi</t>
  </si>
  <si>
    <t>G-02, G-01</t>
  </si>
  <si>
    <t>0317-81 39 487</t>
  </si>
  <si>
    <t>F290</t>
  </si>
  <si>
    <t>Janat, ZAKI, Mehir Ali</t>
  </si>
  <si>
    <t>Faisal khan</t>
  </si>
  <si>
    <t>G-02, G-01,KG-02</t>
  </si>
  <si>
    <t>F291</t>
  </si>
  <si>
    <t>Mohsin, Tehreem</t>
  </si>
  <si>
    <t>0310-99 20 052</t>
  </si>
  <si>
    <t>F292</t>
  </si>
  <si>
    <t>Ahmed Umer, Anaya Abid</t>
  </si>
  <si>
    <t>0310-15 82 223</t>
  </si>
  <si>
    <t>F293</t>
  </si>
  <si>
    <t>Noor, Izza</t>
  </si>
  <si>
    <t>Faheem Ahmed</t>
  </si>
  <si>
    <t>0320-86 47 293</t>
  </si>
  <si>
    <t>F294</t>
  </si>
  <si>
    <t>Zimmal, M. Arham</t>
  </si>
  <si>
    <t>Asif Ameen</t>
  </si>
  <si>
    <t>0334-56 45 343</t>
  </si>
  <si>
    <t>F295</t>
  </si>
  <si>
    <t>M Ahmed, Abdul Raffay</t>
  </si>
  <si>
    <t>M Zubair</t>
  </si>
  <si>
    <t>0336-56 31 820</t>
  </si>
  <si>
    <t>F296</t>
  </si>
  <si>
    <t>Ayat Abbasi, Sikandar Abbasi</t>
  </si>
  <si>
    <t>Junaid Abbasi</t>
  </si>
  <si>
    <t>G-02, KG-01</t>
  </si>
  <si>
    <t>0300-51 10 165</t>
  </si>
  <si>
    <t>F297</t>
  </si>
  <si>
    <t>Anaya, Akbar</t>
  </si>
  <si>
    <t>Bilal Abbasi</t>
  </si>
  <si>
    <t>0312-94 73 367</t>
  </si>
  <si>
    <t>F298</t>
  </si>
  <si>
    <t>Hanzla</t>
  </si>
  <si>
    <t>M Azeem</t>
  </si>
  <si>
    <t>0310-56 58 582</t>
  </si>
  <si>
    <t>F299</t>
  </si>
  <si>
    <t>Nabia, Saifullah</t>
  </si>
  <si>
    <t>Muddsir Khan</t>
  </si>
  <si>
    <t>G-01,KG-02</t>
  </si>
  <si>
    <t>0315-57 11 993</t>
  </si>
  <si>
    <t>F300</t>
  </si>
  <si>
    <t>Muhammad Naveed</t>
  </si>
  <si>
    <t>0315-58 02 446</t>
  </si>
  <si>
    <t>F301</t>
  </si>
  <si>
    <t>Uzair Ali</t>
  </si>
  <si>
    <t>M.Aslam</t>
  </si>
  <si>
    <t>0336-62 75 451</t>
  </si>
  <si>
    <t>F302</t>
  </si>
  <si>
    <t>Ehtisham-ul-Haq, Zara Batool</t>
  </si>
  <si>
    <t>Touqeer</t>
  </si>
  <si>
    <t>0310-46 45 350</t>
  </si>
  <si>
    <t>F303</t>
  </si>
  <si>
    <t>M. Essa, Sarmad</t>
  </si>
  <si>
    <t>Sher Gull</t>
  </si>
  <si>
    <t>0317-89 94 939</t>
  </si>
  <si>
    <t>F304</t>
  </si>
  <si>
    <t>Hisham Khan</t>
  </si>
  <si>
    <t>0342-15 35 703</t>
  </si>
  <si>
    <t>F305</t>
  </si>
  <si>
    <t>Aiza, Azan,Ibraheem</t>
  </si>
  <si>
    <t>Azhar khan</t>
  </si>
  <si>
    <t>G-02, KG-03,KG-02</t>
  </si>
  <si>
    <t>F306</t>
  </si>
  <si>
    <t>Hasnat Habib</t>
  </si>
  <si>
    <t>M. Habib</t>
  </si>
  <si>
    <t>0315-55 38 185</t>
  </si>
  <si>
    <t>F307</t>
  </si>
  <si>
    <t>M. Suffiyan</t>
  </si>
  <si>
    <t>M. Nabeel</t>
  </si>
  <si>
    <t>0313-27 69 596</t>
  </si>
  <si>
    <t>F308</t>
  </si>
  <si>
    <t>Hania,Mahaz,Ehtisahm</t>
  </si>
  <si>
    <t>Aksar Khan</t>
  </si>
  <si>
    <t>G-07,G-06,G-03</t>
  </si>
  <si>
    <t>0303-86 64 889</t>
  </si>
  <si>
    <t>F309</t>
  </si>
  <si>
    <t>Anees ur Rehman</t>
  </si>
  <si>
    <t>Faridoon</t>
  </si>
  <si>
    <t>0333-57 54 952</t>
  </si>
  <si>
    <t>F310</t>
  </si>
  <si>
    <t>Muhammad Hassan</t>
  </si>
  <si>
    <t>Ghulam Hussain</t>
  </si>
  <si>
    <t>0316 59 26 291</t>
  </si>
  <si>
    <t>F311</t>
  </si>
  <si>
    <t>Muhammad Hussain</t>
  </si>
  <si>
    <t>Ashiq hussain</t>
  </si>
  <si>
    <t>0312-41 27 695</t>
  </si>
  <si>
    <t>F312</t>
  </si>
  <si>
    <t>Yousaf</t>
  </si>
  <si>
    <t>M.Shahid</t>
  </si>
  <si>
    <t>0325-90 85 675</t>
  </si>
  <si>
    <t>F313</t>
  </si>
  <si>
    <t>Eishal</t>
  </si>
  <si>
    <t>Rashid Mehboob</t>
  </si>
  <si>
    <t>0314-50 46 880</t>
  </si>
  <si>
    <t>F314</t>
  </si>
  <si>
    <t>Hania Bibi, Muhammad Ahmed Raza</t>
  </si>
  <si>
    <t xml:space="preserve"> Waqas</t>
  </si>
  <si>
    <t>G-01, KG-02</t>
  </si>
  <si>
    <t>0326-54 26 233</t>
  </si>
  <si>
    <t>F315</t>
  </si>
  <si>
    <t>Abdul Waseh</t>
  </si>
  <si>
    <t>M Kamran</t>
  </si>
  <si>
    <t>F316</t>
  </si>
  <si>
    <t>Abdul Raffy, Abdul Manan</t>
  </si>
  <si>
    <t>G-01,KG-01</t>
  </si>
  <si>
    <t>F317</t>
  </si>
  <si>
    <t>M. Mujtaba Junaid, M. Mamoon Junaid</t>
  </si>
  <si>
    <t>Junaid Arshad</t>
  </si>
  <si>
    <t>F318</t>
  </si>
  <si>
    <t>Rohan, Sufiyan</t>
  </si>
  <si>
    <t>Majid Mehboob</t>
  </si>
  <si>
    <t>F319</t>
  </si>
  <si>
    <t>Faria Batool</t>
  </si>
  <si>
    <t>Muhammad Sharif</t>
  </si>
  <si>
    <t>F320</t>
  </si>
  <si>
    <t xml:space="preserve"> Zakria,Pariyan,Mustabshra</t>
  </si>
  <si>
    <t>M Suliman</t>
  </si>
  <si>
    <t>G-01, G-01,KG-02</t>
  </si>
  <si>
    <t>F321</t>
  </si>
  <si>
    <t>Fatima,Laiba,Khudija</t>
  </si>
  <si>
    <t>Haroon Ahmed</t>
  </si>
  <si>
    <t>G-07,G-05,G-02</t>
  </si>
  <si>
    <t>0333-73 61 777</t>
  </si>
  <si>
    <t>F322</t>
  </si>
  <si>
    <t>F323</t>
  </si>
  <si>
    <t>M. Talal, Irash</t>
  </si>
  <si>
    <t>Hamayoon Khan</t>
  </si>
  <si>
    <t>G-01, KG-03</t>
  </si>
  <si>
    <t>0345-69 15 201</t>
  </si>
  <si>
    <t>F324</t>
  </si>
  <si>
    <t>Qasim, Fariyal</t>
  </si>
  <si>
    <t>Faisal Shahzad</t>
  </si>
  <si>
    <t>0313-58 38 788</t>
  </si>
  <si>
    <t>F325</t>
  </si>
  <si>
    <t>Zayan,Mirha</t>
  </si>
  <si>
    <t>Yasir Reman</t>
  </si>
  <si>
    <t>KG-03,KG-02</t>
  </si>
  <si>
    <t>0334-58 84 152</t>
  </si>
  <si>
    <t>F326</t>
  </si>
  <si>
    <t>Areesha</t>
  </si>
  <si>
    <t>0342-76 55 044</t>
  </si>
  <si>
    <t>F327</t>
  </si>
  <si>
    <t>M. Hafeez</t>
  </si>
  <si>
    <t>Muhammad Hanif</t>
  </si>
  <si>
    <t>0310-87 03 396</t>
  </si>
  <si>
    <t>F328</t>
  </si>
  <si>
    <t>Harram, Abrish</t>
  </si>
  <si>
    <t>M Zahoor</t>
  </si>
  <si>
    <t>F329</t>
  </si>
  <si>
    <t>M.Shazad</t>
  </si>
  <si>
    <t>0315-55 68 779</t>
  </si>
  <si>
    <t>F330</t>
  </si>
  <si>
    <t>M Subhan,M Sanan,Azka,Ehsal</t>
  </si>
  <si>
    <t>Faiz Alam</t>
  </si>
  <si>
    <t>G-06,G-06,G-03,G-01</t>
  </si>
  <si>
    <t>0300-56 10 832</t>
  </si>
  <si>
    <t>F331</t>
  </si>
  <si>
    <t>Daneen, Abdul Hadi</t>
  </si>
  <si>
    <t>Shakeel Ahmed</t>
  </si>
  <si>
    <t>0315-57 00 513</t>
  </si>
  <si>
    <t>F332</t>
  </si>
  <si>
    <t>Afnan, Hania</t>
  </si>
  <si>
    <t>0312-58 81 333</t>
  </si>
  <si>
    <t>F333</t>
  </si>
  <si>
    <t>Farwa,Marwa,Saffa,</t>
  </si>
  <si>
    <t>Jahan Alam</t>
  </si>
  <si>
    <t>G-06,G-04,01</t>
  </si>
  <si>
    <t>0312-08 61 567</t>
  </si>
  <si>
    <t>F334</t>
  </si>
  <si>
    <t>Sheryar, Minsa</t>
  </si>
  <si>
    <t>Ubaid Arshad</t>
  </si>
  <si>
    <t>0312-05 50 320</t>
  </si>
  <si>
    <t>F335</t>
  </si>
  <si>
    <t>Anaya,Adan Ali</t>
  </si>
  <si>
    <t>Azhar Khan</t>
  </si>
  <si>
    <t>0314-52 83 991</t>
  </si>
  <si>
    <t>F336</t>
  </si>
  <si>
    <t>Hussain, Hussan</t>
  </si>
  <si>
    <t>F337</t>
  </si>
  <si>
    <t>Hadia</t>
  </si>
  <si>
    <t>Muhammad Umer</t>
  </si>
  <si>
    <t>F338</t>
  </si>
  <si>
    <t>Muhammad Fateh,Abdul Naffay</t>
  </si>
  <si>
    <t>Nisar Arif</t>
  </si>
  <si>
    <t>G-02,KG-02</t>
  </si>
  <si>
    <t>0312-98 68 520</t>
  </si>
  <si>
    <t>F339</t>
  </si>
  <si>
    <t>Atqqa Sadaqat</t>
  </si>
  <si>
    <t>M.Sadaqat</t>
  </si>
  <si>
    <t>0312-98 72 421</t>
  </si>
  <si>
    <t>F340</t>
  </si>
  <si>
    <t>Bareerah, Ameerah</t>
  </si>
  <si>
    <t>Faisal Jadoon</t>
  </si>
  <si>
    <t>012-57 17 091</t>
  </si>
  <si>
    <t>F341</t>
  </si>
  <si>
    <t>HASHIR</t>
  </si>
  <si>
    <t>Shabeer Ahmed</t>
  </si>
  <si>
    <t>KG-03</t>
  </si>
  <si>
    <t>F342</t>
  </si>
  <si>
    <t>Farrukh</t>
  </si>
  <si>
    <t>Muddasir Gul</t>
  </si>
  <si>
    <t>F343</t>
  </si>
  <si>
    <t>0311-53 03 834</t>
  </si>
  <si>
    <t>F344</t>
  </si>
  <si>
    <t>M. Tayyab</t>
  </si>
  <si>
    <t>Amir Mehmood</t>
  </si>
  <si>
    <t>0317-55 29 899</t>
  </si>
  <si>
    <t>F345</t>
  </si>
  <si>
    <t>Rahim</t>
  </si>
  <si>
    <t>Sagheer Ahmed</t>
  </si>
  <si>
    <t>F346</t>
  </si>
  <si>
    <t>M. Ali, Hassan</t>
  </si>
  <si>
    <t>Saif ur  Rehman</t>
  </si>
  <si>
    <t>KG-03, KG-03</t>
  </si>
  <si>
    <t>0314-54 68 503</t>
  </si>
  <si>
    <t>F347</t>
  </si>
  <si>
    <t>Ahmed Mujtaba</t>
  </si>
  <si>
    <t>Rashid Mehmood ( Kami )</t>
  </si>
  <si>
    <t>0310-51 56 811</t>
  </si>
  <si>
    <t>F348</t>
  </si>
  <si>
    <t>Areej, Hussan</t>
  </si>
  <si>
    <t>Muhammad Imran</t>
  </si>
  <si>
    <t>KG-03, KG-02</t>
  </si>
  <si>
    <t>F349</t>
  </si>
  <si>
    <t>Momina Shazad,Adnan shazad</t>
  </si>
  <si>
    <t>M Shazad</t>
  </si>
  <si>
    <t>G-03,G-01</t>
  </si>
  <si>
    <t>0332-50 01 731</t>
  </si>
  <si>
    <t>F350</t>
  </si>
  <si>
    <t>Muzamil, Haram</t>
  </si>
  <si>
    <t>0314-50 96 498</t>
  </si>
  <si>
    <t>F351</t>
  </si>
  <si>
    <t>Ahmed Mujtaba,Ania Sehrosh, Qaswa Noor</t>
  </si>
  <si>
    <t>Muhammad Nouman</t>
  </si>
  <si>
    <t>G-03, G-02, KG-02</t>
  </si>
  <si>
    <t>0320-85 88 101</t>
  </si>
  <si>
    <t>F352</t>
  </si>
  <si>
    <t>Jannat Noor</t>
  </si>
  <si>
    <t>Toqeer</t>
  </si>
  <si>
    <t>0312-93 59 729</t>
  </si>
  <si>
    <t>F353</t>
  </si>
  <si>
    <t>M. Muzamil, M. Mussa, Essa</t>
  </si>
  <si>
    <t>Qaiser</t>
  </si>
  <si>
    <t>G-02, G-01, KG-01</t>
  </si>
  <si>
    <t>0318-05 48 069</t>
  </si>
  <si>
    <t>F354</t>
  </si>
  <si>
    <t>Muhyuddin</t>
  </si>
  <si>
    <t>Jahanzaib khan</t>
  </si>
  <si>
    <t>0319-85 15 832</t>
  </si>
  <si>
    <t>F355</t>
  </si>
  <si>
    <t>Shafea Nadeem</t>
  </si>
  <si>
    <t>0316-50 93 165</t>
  </si>
  <si>
    <t>F356</t>
  </si>
  <si>
    <t>Ayat, M. Afnan Ali</t>
  </si>
  <si>
    <t>Ali Nawaz</t>
  </si>
  <si>
    <t>KG-03, KG-01</t>
  </si>
  <si>
    <t>F357</t>
  </si>
  <si>
    <t>Balaj</t>
  </si>
  <si>
    <t>Shahbeer Ahmed</t>
  </si>
  <si>
    <t>F358</t>
  </si>
  <si>
    <t>Eshmil Faisal</t>
  </si>
  <si>
    <t>Faisal Iqbal</t>
  </si>
  <si>
    <t>0310-42 39 516</t>
  </si>
  <si>
    <t>F359</t>
  </si>
  <si>
    <t>Abdul Raffay</t>
  </si>
  <si>
    <t>Muhammad Zareef</t>
  </si>
  <si>
    <t>0342-940 49 45</t>
  </si>
  <si>
    <t>F360</t>
  </si>
  <si>
    <t>Subhan,Qura-tul-Ain, Hoor-ul-Ain</t>
  </si>
  <si>
    <t>Sohail Nawaz</t>
  </si>
  <si>
    <t>G-02,G-01,KG-03</t>
  </si>
  <si>
    <t>F361</t>
  </si>
  <si>
    <t>F362</t>
  </si>
  <si>
    <t>Sadam</t>
  </si>
  <si>
    <t>Anayat Khan</t>
  </si>
  <si>
    <t>F363</t>
  </si>
  <si>
    <t>Hifza Sadaqat</t>
  </si>
  <si>
    <t>Muhammad Sadaqat</t>
  </si>
  <si>
    <t>0319-95 24 763</t>
  </si>
  <si>
    <t>F364</t>
  </si>
  <si>
    <t>Ahmed Bilal</t>
  </si>
  <si>
    <t xml:space="preserve"> Qasim Awan</t>
  </si>
  <si>
    <t>0311-58 30 842</t>
  </si>
  <si>
    <t>F365</t>
  </si>
  <si>
    <t>Abbas</t>
  </si>
  <si>
    <t>Khanzaib</t>
  </si>
  <si>
    <t>F366</t>
  </si>
  <si>
    <t>Ayan Hafeez</t>
  </si>
  <si>
    <t>F367</t>
  </si>
  <si>
    <t>Nayab, Shahzain, Abu Baker</t>
  </si>
  <si>
    <t>Waseem</t>
  </si>
  <si>
    <t>G-08,G-06,G-02</t>
  </si>
  <si>
    <t>0313-15 10 003</t>
  </si>
  <si>
    <t>F368</t>
  </si>
  <si>
    <t>M. Sheharyar, Anayah Tahir</t>
  </si>
  <si>
    <t>Tahir Naseem</t>
  </si>
  <si>
    <t>G-06,G-04</t>
  </si>
  <si>
    <t>F369</t>
  </si>
  <si>
    <t>Anayat , Ismail</t>
  </si>
  <si>
    <t>Abdul Rehman</t>
  </si>
  <si>
    <t>0341-98 44 353</t>
  </si>
  <si>
    <t>F370</t>
  </si>
  <si>
    <t>Almeer</t>
  </si>
  <si>
    <t>M Khurram</t>
  </si>
  <si>
    <t>0314-20 97 675</t>
  </si>
  <si>
    <t>F371</t>
  </si>
  <si>
    <t>Shahid Ali</t>
  </si>
  <si>
    <t>F372</t>
  </si>
  <si>
    <t>Mohid</t>
  </si>
  <si>
    <t>Azhar</t>
  </si>
  <si>
    <t>0347-04 40 409</t>
  </si>
  <si>
    <t>F373</t>
  </si>
  <si>
    <t>Zara Jadoon</t>
  </si>
  <si>
    <t>Nasrullah Khan</t>
  </si>
  <si>
    <t>F374</t>
  </si>
  <si>
    <t>Ayat Noor</t>
  </si>
  <si>
    <t>M. Majid</t>
  </si>
  <si>
    <t>0303-50 19 347</t>
  </si>
  <si>
    <t>F375</t>
  </si>
  <si>
    <t>Inham Ullah</t>
  </si>
  <si>
    <t>M. Sohail</t>
  </si>
  <si>
    <t>0317-55 29 692</t>
  </si>
  <si>
    <t>F376</t>
  </si>
  <si>
    <t>Azeem Ullah</t>
  </si>
  <si>
    <t>Shahid Khan</t>
  </si>
  <si>
    <t>0313-55 01 845</t>
  </si>
  <si>
    <t>F377</t>
  </si>
  <si>
    <t>Azan,Dawa</t>
  </si>
  <si>
    <t>Muhammad Adnan</t>
  </si>
  <si>
    <t>F378</t>
  </si>
  <si>
    <t>Muhammad sanfar</t>
  </si>
  <si>
    <t>0318-83 44 691</t>
  </si>
  <si>
    <t>F379</t>
  </si>
  <si>
    <t>Anzala</t>
  </si>
  <si>
    <t>Rafaqat Ali</t>
  </si>
  <si>
    <t>F380</t>
  </si>
  <si>
    <t>Irum, Mahnoor</t>
  </si>
  <si>
    <t>Ali Manzal</t>
  </si>
  <si>
    <t>G-10, G-07</t>
  </si>
  <si>
    <t>0317-59 57 241</t>
  </si>
  <si>
    <t>F381</t>
  </si>
  <si>
    <t>Anus</t>
  </si>
  <si>
    <t>M.Faisal</t>
  </si>
  <si>
    <t>0335-05 06 361</t>
  </si>
  <si>
    <t>F382</t>
  </si>
  <si>
    <t>Safa Noor</t>
  </si>
  <si>
    <t>Muhammad Azad</t>
  </si>
  <si>
    <t>0310-86 82 814</t>
  </si>
  <si>
    <t>F383</t>
  </si>
  <si>
    <t>Ayat</t>
  </si>
  <si>
    <t>F384</t>
  </si>
  <si>
    <t>Eman,Raja Khizar</t>
  </si>
  <si>
    <t>Muhammad Iliyas</t>
  </si>
  <si>
    <t>G-07,G-02</t>
  </si>
  <si>
    <t>0310-08 95 646</t>
  </si>
  <si>
    <t>F385</t>
  </si>
  <si>
    <t>M. Ali</t>
  </si>
  <si>
    <t>0321-98 14 150</t>
  </si>
  <si>
    <t>F386</t>
  </si>
  <si>
    <t>Muhammad Essa</t>
  </si>
  <si>
    <t>M.Naeem</t>
  </si>
  <si>
    <t>0316-36 71 138</t>
  </si>
  <si>
    <t>F387</t>
  </si>
  <si>
    <t>Ejaz</t>
  </si>
  <si>
    <t>0313-08 01 819</t>
  </si>
  <si>
    <t>F388</t>
  </si>
  <si>
    <t>Talal</t>
  </si>
  <si>
    <t>Muhammad Altaf</t>
  </si>
  <si>
    <t>0301-87 51 662</t>
  </si>
  <si>
    <t>F389</t>
  </si>
  <si>
    <t>Aman Ullah</t>
  </si>
  <si>
    <t>Muneer Ahmed</t>
  </si>
  <si>
    <t>0300-48 67 180</t>
  </si>
  <si>
    <t>F390</t>
  </si>
  <si>
    <t>Haleema, Tayyaba, Husnain</t>
  </si>
  <si>
    <t>Fida Shah</t>
  </si>
  <si>
    <t>G-10, G-7, G-5</t>
  </si>
  <si>
    <t>0318-08 32 441</t>
  </si>
  <si>
    <t>F391</t>
  </si>
  <si>
    <t>Naqeebullah</t>
  </si>
  <si>
    <t>Shamshad Ahmed</t>
  </si>
  <si>
    <t>KG-3</t>
  </si>
  <si>
    <t>0314-08 80 481</t>
  </si>
  <si>
    <t>F392</t>
  </si>
  <si>
    <t>Anabia,Zohan</t>
  </si>
  <si>
    <t>G-01,KG-3</t>
  </si>
  <si>
    <t>F393</t>
  </si>
  <si>
    <t>Arshman</t>
  </si>
  <si>
    <t>F394</t>
  </si>
  <si>
    <t>Asadullah, Habibullah</t>
  </si>
  <si>
    <t>M.Ijaz</t>
  </si>
  <si>
    <t>G-10,G-02</t>
  </si>
  <si>
    <t>0312-28 28 299</t>
  </si>
  <si>
    <t>F395</t>
  </si>
  <si>
    <t>Ibraheem</t>
  </si>
  <si>
    <t xml:space="preserve">0316-35 31 487 </t>
  </si>
  <si>
    <t>F396</t>
  </si>
  <si>
    <t>Urwa Tahir</t>
  </si>
  <si>
    <t>F397</t>
  </si>
  <si>
    <t>Zakir Rehman</t>
  </si>
  <si>
    <t>0334 87 66 012</t>
  </si>
  <si>
    <t>F398</t>
  </si>
  <si>
    <t>Sundas Imtiaz</t>
  </si>
  <si>
    <t>Imtiaz</t>
  </si>
  <si>
    <t>F399</t>
  </si>
  <si>
    <t>Abdul Rafay, Abdul Wasay,Abdul Nafay</t>
  </si>
  <si>
    <t>G-09,G-03,G-02</t>
  </si>
  <si>
    <t>0349-59 47 085</t>
  </si>
  <si>
    <t>F400</t>
  </si>
  <si>
    <t>Abdul Wasay Leave</t>
  </si>
  <si>
    <t>F401</t>
  </si>
  <si>
    <t>Shazain</t>
  </si>
  <si>
    <t>Noshad</t>
  </si>
  <si>
    <t>0335-96 38 843</t>
  </si>
  <si>
    <t>F402</t>
  </si>
  <si>
    <t>Haider Ali</t>
  </si>
  <si>
    <t>Junaid Ali</t>
  </si>
  <si>
    <t>0312 93 59729</t>
  </si>
  <si>
    <t>F403</t>
  </si>
  <si>
    <t>M.Arkham</t>
  </si>
  <si>
    <t>Aqeel Ahmed</t>
  </si>
  <si>
    <t>0313-08 23 071</t>
  </si>
  <si>
    <t>F404</t>
  </si>
  <si>
    <t>M.Hanzala Khan</t>
  </si>
  <si>
    <t>Abbas Khan</t>
  </si>
  <si>
    <t>0312-66 22 042</t>
  </si>
  <si>
    <t>F405</t>
  </si>
  <si>
    <t>Syed Shabi ul Hassan</t>
  </si>
  <si>
    <t>Syed Jawad Hassan Shah</t>
  </si>
  <si>
    <t>0332-50 97 075</t>
  </si>
  <si>
    <t>F406</t>
  </si>
  <si>
    <t>Ahad Ali</t>
  </si>
  <si>
    <t>Saqib Ali</t>
  </si>
  <si>
    <t>F407</t>
  </si>
  <si>
    <t>Hinza Noor</t>
  </si>
  <si>
    <t>Junaid</t>
  </si>
  <si>
    <t>0323-91 95 878</t>
  </si>
  <si>
    <t>F408</t>
  </si>
  <si>
    <t>M. Aneeq Taimoor</t>
  </si>
  <si>
    <t>Syed Taimoor Shah</t>
  </si>
  <si>
    <t>0315-52 80 812</t>
  </si>
  <si>
    <t>F409</t>
  </si>
  <si>
    <t>F410</t>
  </si>
  <si>
    <t>0311-58 34 463</t>
  </si>
  <si>
    <t>F411</t>
  </si>
  <si>
    <t>Majid Mehmood</t>
  </si>
  <si>
    <t>0313-24 79 003</t>
  </si>
  <si>
    <t>F412</t>
  </si>
  <si>
    <t>Ubaid Ullah,Ayan Ali</t>
  </si>
  <si>
    <t>Jahanzaib</t>
  </si>
  <si>
    <t>G-07,G-04</t>
  </si>
  <si>
    <t>0344-94 34 248</t>
  </si>
  <si>
    <t>F413</t>
  </si>
  <si>
    <t>Alisha Bibi</t>
  </si>
  <si>
    <t>Babar Khan</t>
  </si>
  <si>
    <t>0311-06 50 377</t>
  </si>
  <si>
    <t>F414</t>
  </si>
  <si>
    <t>Kaleemullah</t>
  </si>
  <si>
    <t>0313-58 14 278</t>
  </si>
  <si>
    <t>F415</t>
  </si>
  <si>
    <t>Abdullah,Saifullah</t>
  </si>
  <si>
    <t>Muhammad Tariq</t>
  </si>
  <si>
    <t>G-06,G-02</t>
  </si>
  <si>
    <t>0305-19 55 543</t>
  </si>
  <si>
    <t>F416</t>
  </si>
  <si>
    <t>Bakhtawar,Muhammad Ali</t>
  </si>
  <si>
    <t>Zahoor Khan</t>
  </si>
  <si>
    <t>G-07,G-06</t>
  </si>
  <si>
    <t>0311-88 86 097</t>
  </si>
  <si>
    <t>F417</t>
  </si>
  <si>
    <t>Muhammad Kashif</t>
  </si>
  <si>
    <t>Muhammad Afsar</t>
  </si>
  <si>
    <t>0317-80 77 389</t>
  </si>
  <si>
    <t>F418</t>
  </si>
  <si>
    <t>Fatima Khan</t>
  </si>
  <si>
    <t>Khanafsar</t>
  </si>
  <si>
    <t>0314-55 01 361</t>
  </si>
  <si>
    <t>F419</t>
  </si>
  <si>
    <t>Eman Safdar</t>
  </si>
  <si>
    <t>Muhammad Safdar</t>
  </si>
  <si>
    <t>0318-18 38 134</t>
  </si>
  <si>
    <t>F420</t>
  </si>
  <si>
    <t>Uswa Amjid</t>
  </si>
  <si>
    <t>Amjid Khan</t>
  </si>
  <si>
    <t>F421</t>
  </si>
  <si>
    <t>0311-87 74 922</t>
  </si>
  <si>
    <t>F422</t>
  </si>
  <si>
    <t>Hajira Bibi</t>
  </si>
  <si>
    <t>Muhammad Nazir</t>
  </si>
  <si>
    <t>F423</t>
  </si>
  <si>
    <t>Ifra Batool</t>
  </si>
  <si>
    <t>Muhammad Rashid</t>
  </si>
  <si>
    <t>0314-93 46 314</t>
  </si>
  <si>
    <t>F424</t>
  </si>
  <si>
    <t>Abbar,Anabia</t>
  </si>
  <si>
    <t>0312-54 45 511</t>
  </si>
  <si>
    <t>F425</t>
  </si>
  <si>
    <t>Balaj Ali</t>
  </si>
  <si>
    <t>Yasir Ali</t>
  </si>
  <si>
    <t>F426</t>
  </si>
  <si>
    <t>Zawad khan</t>
  </si>
  <si>
    <t>Zaffar Iqbal</t>
  </si>
  <si>
    <t>0342-67 55 044</t>
  </si>
  <si>
    <t>F427</t>
  </si>
  <si>
    <t>Gulam Murtaza</t>
  </si>
  <si>
    <t>0302-81 26 359</t>
  </si>
  <si>
    <t>F428</t>
  </si>
  <si>
    <t>Warda Khan</t>
  </si>
  <si>
    <t>Ayaz Khan</t>
  </si>
  <si>
    <t>0317-57 42 841</t>
  </si>
  <si>
    <t>F429</t>
  </si>
  <si>
    <t>Zain,Faisal</t>
  </si>
  <si>
    <t>G-03,KG-03</t>
  </si>
  <si>
    <t>0336-56 47 086</t>
  </si>
  <si>
    <t>F430</t>
  </si>
  <si>
    <t>Tooba Fida</t>
  </si>
  <si>
    <t>Fida Muhammad</t>
  </si>
  <si>
    <t>0324-96 94 141</t>
  </si>
  <si>
    <t>F431</t>
  </si>
  <si>
    <t>Abdullah M. Abbas,A.Rehman M. Hamza</t>
  </si>
  <si>
    <t>Abdul Qayyum</t>
  </si>
  <si>
    <t>G-03,KG-02</t>
  </si>
  <si>
    <t>0334-22 77 744</t>
  </si>
  <si>
    <t>F432</t>
  </si>
  <si>
    <t>Hina Bibi</t>
  </si>
  <si>
    <t>Muhammad Ilyas</t>
  </si>
  <si>
    <t>0313-07 71 834</t>
  </si>
  <si>
    <t>F433</t>
  </si>
  <si>
    <t>Roman Tahir</t>
  </si>
  <si>
    <t>Tahir Mehmood</t>
  </si>
  <si>
    <t>0319-75 19 657</t>
  </si>
  <si>
    <t>F434</t>
  </si>
  <si>
    <t>Hadia,Manail,Zohaib Khan</t>
  </si>
  <si>
    <t>Haroon Khan</t>
  </si>
  <si>
    <t>G-8,G-7,G-01</t>
  </si>
  <si>
    <t>F435</t>
  </si>
  <si>
    <t>Hira Bibi</t>
  </si>
  <si>
    <t>Muhammd Jamil</t>
  </si>
  <si>
    <t>F436</t>
  </si>
  <si>
    <t>Saad Ali</t>
  </si>
  <si>
    <t>Amjid Ali</t>
  </si>
  <si>
    <t>F437</t>
  </si>
  <si>
    <t>Isma Shahnawaz</t>
  </si>
  <si>
    <t>Shahnawaz</t>
  </si>
  <si>
    <t>F438</t>
  </si>
  <si>
    <t>Tooba Khan</t>
  </si>
  <si>
    <t>Afsar Khan</t>
  </si>
  <si>
    <t>F439</t>
  </si>
  <si>
    <t>Rabi-un-Noor</t>
  </si>
  <si>
    <t>Rasheed Ahmed</t>
  </si>
  <si>
    <t>0301-5141254</t>
  </si>
  <si>
    <t>F440</t>
  </si>
  <si>
    <t>Nida Saleem</t>
  </si>
  <si>
    <t>Muhammad Saleem</t>
  </si>
  <si>
    <t>0318-2103588</t>
  </si>
  <si>
    <t>F441</t>
  </si>
  <si>
    <t>Aleena Bibi</t>
  </si>
  <si>
    <t>Muhammad Fiaz</t>
  </si>
  <si>
    <t>F442</t>
  </si>
  <si>
    <t>Noor ul Eman</t>
  </si>
  <si>
    <t>F443</t>
  </si>
  <si>
    <t>Nafeesa Bibi</t>
  </si>
  <si>
    <t>Abdul Waheed</t>
  </si>
  <si>
    <t>F444</t>
  </si>
  <si>
    <t>Fatima Khurshid</t>
  </si>
  <si>
    <t>F445</t>
  </si>
  <si>
    <t>Zainab Bibi</t>
  </si>
  <si>
    <t>Rashid Khan</t>
  </si>
  <si>
    <t>F446</t>
  </si>
  <si>
    <t>Mehwish Ilyas,Moiz Ilyas</t>
  </si>
  <si>
    <t>G-11,G-2</t>
  </si>
  <si>
    <t>F447</t>
  </si>
  <si>
    <t>Momina Bibi</t>
  </si>
  <si>
    <t>Muhammad Amjid</t>
  </si>
  <si>
    <t>F448</t>
  </si>
  <si>
    <t>Fatiha Noor</t>
  </si>
  <si>
    <t>Shamraiz</t>
  </si>
  <si>
    <t>F449</t>
  </si>
  <si>
    <t>Abiha Zahra</t>
  </si>
  <si>
    <t>F450</t>
  </si>
  <si>
    <t>Hashir Mehmood</t>
  </si>
  <si>
    <t>Hamza Arshid</t>
  </si>
  <si>
    <t>F451</t>
  </si>
  <si>
    <t>Muhammad Hussan Zaib,Sara Khan</t>
  </si>
  <si>
    <t>Gul Zaib Khan</t>
  </si>
  <si>
    <t>KG-02,KG-02</t>
  </si>
  <si>
    <t>F452</t>
  </si>
  <si>
    <t>Maroosha Jalil</t>
  </si>
  <si>
    <t>Abdul Jalil</t>
  </si>
  <si>
    <t>F453</t>
  </si>
  <si>
    <t>Muhmmad Arshman</t>
  </si>
  <si>
    <t>Muhammad Sarfraz</t>
  </si>
  <si>
    <t>F454</t>
  </si>
  <si>
    <t>F455</t>
  </si>
  <si>
    <t>Ajwa Noor</t>
  </si>
  <si>
    <t>Asif Ali</t>
  </si>
  <si>
    <t>F456</t>
  </si>
  <si>
    <t>Momin Ali</t>
  </si>
  <si>
    <t>Ejaz Ahmed</t>
  </si>
  <si>
    <t>F457</t>
  </si>
  <si>
    <t>Noor ul Ain</t>
  </si>
  <si>
    <t>Nusrat Mehmood</t>
  </si>
  <si>
    <t>F458</t>
  </si>
  <si>
    <t>Maryam Waris</t>
  </si>
  <si>
    <t>Waris Ch</t>
  </si>
  <si>
    <t>F459</t>
  </si>
  <si>
    <t>Hawa Batool, Zamzam</t>
  </si>
  <si>
    <t>Shoaib Saeed</t>
  </si>
  <si>
    <t>F460</t>
  </si>
  <si>
    <t>HAADIYA</t>
  </si>
  <si>
    <t>MUHAMMAD QASIM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</si>
</sst>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0"/>
      <color indexed="8"/>
      <name val="Arial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Calibri"/>
      <family val="2"/>
    </font>
    <font>
      <sz val="12"/>
      <name val="Calibri Light"/>
      <family val="1"/>
      <scheme val="maj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0"/>
      <name val="Calibri Light"/>
      <family val="1"/>
      <scheme val="major"/>
    </font>
    <font>
      <sz val="10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5" tint="0.3999145481734672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</borders>
  <cellStyleXfs count="11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70">
    <xf numFmtId="0" fontId="0" fillId="0" borderId="0" xfId="0"/>
    <xf numFmtId="0" fontId="2" fillId="2" borderId="1" xfId="1" applyFont="1" applyFill="1" applyBorder="1" applyAlignment="1">
      <alignment horizontal="center"/>
    </xf>
    <xf numFmtId="0" fontId="4" fillId="3" borderId="2" xfId="2" applyFont="1" applyFill="1" applyBorder="1" applyAlignment="1">
      <alignment horizontal="left"/>
    </xf>
    <xf numFmtId="0" fontId="5" fillId="4" borderId="3" xfId="3" applyFont="1" applyFill="1" applyBorder="1" applyAlignment="1">
      <alignment horizontal="center"/>
    </xf>
    <xf numFmtId="0" fontId="6" fillId="3" borderId="4" xfId="4" applyFont="1" applyFill="1" applyBorder="1" applyAlignment="1">
      <alignment horizontal="center" vertical="center"/>
    </xf>
    <xf numFmtId="0" fontId="5" fillId="2" borderId="5" xfId="5" applyFont="1" applyFill="1" applyBorder="1" applyAlignment="1">
      <alignment horizontal="center"/>
    </xf>
    <xf numFmtId="0" fontId="4" fillId="3" borderId="5" xfId="2" applyFont="1" applyFill="1" applyBorder="1" applyAlignment="1">
      <alignment horizontal="center"/>
    </xf>
    <xf numFmtId="0" fontId="6" fillId="3" borderId="5" xfId="6" applyFont="1" applyFill="1" applyBorder="1" applyAlignment="1">
      <alignment horizontal="left" vertical="center"/>
    </xf>
    <xf numFmtId="0" fontId="6" fillId="3" borderId="2" xfId="6" applyFont="1" applyFill="1" applyBorder="1" applyAlignment="1">
      <alignment horizontal="center" vertical="center"/>
    </xf>
    <xf numFmtId="0" fontId="6" fillId="3" borderId="4" xfId="7" applyFont="1" applyFill="1" applyBorder="1" applyAlignment="1">
      <alignment horizontal="center"/>
    </xf>
    <xf numFmtId="0" fontId="6" fillId="3" borderId="4" xfId="7" applyFont="1" applyFill="1" applyBorder="1" applyAlignment="1">
      <alignment horizontal="right"/>
    </xf>
    <xf numFmtId="0" fontId="7" fillId="3" borderId="4" xfId="0" applyFont="1" applyFill="1" applyBorder="1"/>
    <xf numFmtId="0" fontId="8" fillId="2" borderId="4" xfId="8" applyFont="1" applyFill="1" applyBorder="1" applyAlignment="1">
      <alignment horizontal="center"/>
    </xf>
    <xf numFmtId="0" fontId="8" fillId="2" borderId="1" xfId="8" applyFont="1" applyFill="1" applyBorder="1" applyAlignment="1">
      <alignment horizontal="center"/>
    </xf>
    <xf numFmtId="0" fontId="8" fillId="2" borderId="1" xfId="9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0" fontId="8" fillId="2" borderId="1" xfId="1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9" fillId="0" borderId="0" xfId="0" applyFont="1"/>
    <xf numFmtId="0" fontId="2" fillId="0" borderId="5" xfId="1" applyFont="1" applyBorder="1" applyAlignment="1">
      <alignment wrapText="1"/>
    </xf>
    <xf numFmtId="0" fontId="10" fillId="0" borderId="5" xfId="2" applyFont="1" applyBorder="1" applyAlignment="1">
      <alignment horizontal="center" wrapText="1"/>
    </xf>
    <xf numFmtId="0" fontId="8" fillId="0" borderId="5" xfId="3" applyFont="1" applyBorder="1" applyAlignment="1">
      <alignment horizontal="center" wrapText="1"/>
    </xf>
    <xf numFmtId="0" fontId="11" fillId="0" borderId="5" xfId="4" applyFont="1" applyBorder="1" applyAlignment="1">
      <alignment horizontal="center" vertical="top" wrapText="1"/>
    </xf>
    <xf numFmtId="3" fontId="2" fillId="0" borderId="5" xfId="1" applyNumberFormat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3" fontId="8" fillId="0" borderId="6" xfId="5" applyNumberFormat="1" applyFont="1" applyBorder="1" applyAlignment="1">
      <alignment horizontal="center" wrapText="1"/>
    </xf>
    <xf numFmtId="3" fontId="10" fillId="0" borderId="6" xfId="2" applyNumberFormat="1" applyFont="1" applyBorder="1" applyAlignment="1">
      <alignment horizontal="center" wrapText="1"/>
    </xf>
    <xf numFmtId="0" fontId="12" fillId="0" borderId="5" xfId="6" applyFont="1" applyBorder="1" applyAlignment="1">
      <alignment horizontal="center" vertical="center" wrapText="1"/>
    </xf>
    <xf numFmtId="3" fontId="12" fillId="0" borderId="5" xfId="6" applyNumberFormat="1" applyFont="1" applyBorder="1" applyAlignment="1">
      <alignment horizontal="center" vertical="center" wrapText="1"/>
    </xf>
    <xf numFmtId="3" fontId="12" fillId="0" borderId="5" xfId="7" applyNumberFormat="1" applyFont="1" applyBorder="1" applyAlignment="1">
      <alignment horizontal="center" wrapText="1"/>
    </xf>
    <xf numFmtId="0" fontId="0" fillId="0" borderId="5" xfId="0" applyBorder="1"/>
    <xf numFmtId="3" fontId="10" fillId="0" borderId="5" xfId="4" applyNumberFormat="1" applyFont="1" applyBorder="1" applyAlignment="1">
      <alignment horizontal="center" vertical="center" wrapText="1"/>
    </xf>
    <xf numFmtId="3" fontId="8" fillId="0" borderId="5" xfId="8" applyNumberFormat="1" applyFont="1" applyBorder="1" applyAlignment="1">
      <alignment horizontal="center" wrapText="1"/>
    </xf>
    <xf numFmtId="3" fontId="8" fillId="0" borderId="5" xfId="9" applyNumberFormat="1" applyFont="1" applyBorder="1" applyAlignment="1">
      <alignment horizontal="center" wrapText="1"/>
    </xf>
    <xf numFmtId="3" fontId="8" fillId="0" borderId="5" xfId="5" applyNumberFormat="1" applyFont="1" applyBorder="1" applyAlignment="1">
      <alignment horizontal="center" wrapText="1"/>
    </xf>
    <xf numFmtId="3" fontId="8" fillId="0" borderId="5" xfId="1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vertical="center"/>
    </xf>
    <xf numFmtId="3" fontId="8" fillId="0" borderId="2" xfId="5" applyNumberFormat="1" applyFont="1" applyBorder="1" applyAlignment="1">
      <alignment horizontal="center" wrapText="1"/>
    </xf>
    <xf numFmtId="3" fontId="10" fillId="0" borderId="2" xfId="2" applyNumberFormat="1" applyFont="1" applyBorder="1" applyAlignment="1">
      <alignment horizontal="center" wrapText="1"/>
    </xf>
    <xf numFmtId="3" fontId="10" fillId="0" borderId="5" xfId="2" applyNumberFormat="1" applyFont="1" applyBorder="1" applyAlignment="1">
      <alignment horizontal="center" wrapText="1"/>
    </xf>
    <xf numFmtId="3" fontId="8" fillId="0" borderId="7" xfId="5" applyNumberFormat="1" applyFont="1" applyBorder="1" applyAlignment="1">
      <alignment horizontal="center" wrapText="1"/>
    </xf>
    <xf numFmtId="3" fontId="10" fillId="0" borderId="7" xfId="2" applyNumberFormat="1" applyFont="1" applyBorder="1" applyAlignment="1">
      <alignment horizontal="center" wrapText="1"/>
    </xf>
    <xf numFmtId="0" fontId="14" fillId="0" borderId="5" xfId="4" applyFont="1" applyBorder="1" applyAlignment="1">
      <alignment horizontal="center" vertical="top" wrapText="1"/>
    </xf>
    <xf numFmtId="3" fontId="8" fillId="0" borderId="8" xfId="5" applyNumberFormat="1" applyFont="1" applyBorder="1" applyAlignment="1">
      <alignment horizontal="center" wrapText="1"/>
    </xf>
    <xf numFmtId="3" fontId="10" fillId="0" borderId="8" xfId="2" applyNumberFormat="1" applyFont="1" applyBorder="1" applyAlignment="1">
      <alignment horizontal="center" wrapText="1"/>
    </xf>
    <xf numFmtId="0" fontId="15" fillId="5" borderId="5" xfId="4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1" fillId="5" borderId="5" xfId="4" applyFont="1" applyFill="1" applyBorder="1" applyAlignment="1">
      <alignment horizontal="center" vertical="top" wrapText="1"/>
    </xf>
    <xf numFmtId="0" fontId="16" fillId="0" borderId="5" xfId="4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/>
    </xf>
    <xf numFmtId="0" fontId="11" fillId="5" borderId="5" xfId="4" quotePrefix="1" applyFont="1" applyFill="1" applyBorder="1" applyAlignment="1">
      <alignment horizontal="center" vertical="top" wrapText="1"/>
    </xf>
    <xf numFmtId="0" fontId="11" fillId="0" borderId="5" xfId="4" quotePrefix="1" applyFont="1" applyBorder="1" applyAlignment="1">
      <alignment horizontal="center" vertical="top" wrapText="1"/>
    </xf>
    <xf numFmtId="0" fontId="16" fillId="5" borderId="5" xfId="4" applyFont="1" applyFill="1" applyBorder="1" applyAlignment="1">
      <alignment horizontal="center" vertical="top" wrapText="1"/>
    </xf>
    <xf numFmtId="0" fontId="11" fillId="6" borderId="5" xfId="4" applyFont="1" applyFill="1" applyBorder="1" applyAlignment="1">
      <alignment horizontal="center" vertical="top" wrapText="1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/>
    </xf>
    <xf numFmtId="0" fontId="2" fillId="0" borderId="9" xfId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2" fillId="0" borderId="9" xfId="1" applyNumberFormat="1" applyFont="1" applyBorder="1" applyAlignment="1">
      <alignment horizontal="center" wrapText="1"/>
    </xf>
    <xf numFmtId="3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8" fillId="0" borderId="10" xfId="2" applyNumberFormat="1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3" fontId="21" fillId="0" borderId="5" xfId="0" applyNumberFormat="1" applyFont="1" applyBorder="1" applyAlignment="1">
      <alignment horizontal="center" vertical="center"/>
    </xf>
  </cellXfs>
  <cellStyles count="11">
    <cellStyle name="Normal" xfId="0" builtinId="0"/>
    <cellStyle name="Normal_April 2025 Fee Collection" xfId="4" xr:uid="{DCDE2116-095C-43D3-AC97-8E5DB5B424F5}"/>
    <cellStyle name="Normal_April 2025 Fee Collection_1" xfId="3" xr:uid="{834B3602-E8F8-40E7-8F20-DF53995028F0}"/>
    <cellStyle name="Normal_April 2025 Fee Collection_2" xfId="6" xr:uid="{F806052B-B19E-4BFD-9DA8-5C8CC4D57539}"/>
    <cellStyle name="Normal_Dec-25" xfId="9" xr:uid="{9BBD71B4-5597-4858-BA1F-B38E0F0C4C61}"/>
    <cellStyle name="Normal_Feb-26" xfId="5" xr:uid="{6F757A48-92CB-4B76-A37D-A3B616143EC3}"/>
    <cellStyle name="Normal_Feb-26_1" xfId="10" xr:uid="{75D1B129-7D0D-4921-A40C-4A687B2EEE9A}"/>
    <cellStyle name="Normal_Feb-26_2" xfId="1" xr:uid="{92D6DFC0-2698-4B32-81F7-81E83ACC4A68}"/>
    <cellStyle name="Normal_Fee From Oct-25" xfId="7" xr:uid="{283C97F8-8ADF-4227-88EC-1D4CC5907CAF}"/>
    <cellStyle name="Normal_Sheet1_1" xfId="2" xr:uid="{75A9F8B8-824E-4CC9-8FBA-F97A6320D538}"/>
    <cellStyle name="Normal_Sheet3" xfId="8" xr:uid="{062395CF-8C20-49A4-B0DB-639A51567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C189-804F-45EC-A896-8C710615402C}">
  <dimension ref="A1:AD462"/>
  <sheetViews>
    <sheetView tabSelected="1" workbookViewId="0">
      <selection activeCell="B10" sqref="B10"/>
    </sheetView>
  </sheetViews>
  <sheetFormatPr defaultRowHeight="15" x14ac:dyDescent="0.25"/>
  <cols>
    <col min="1" max="1" width="11.85546875" style="62" bestFit="1" customWidth="1"/>
    <col min="2" max="2" width="50.85546875" style="68" bestFit="1" customWidth="1"/>
    <col min="3" max="3" width="24" style="68" bestFit="1" customWidth="1"/>
    <col min="4" max="4" width="31.42578125" style="46" bestFit="1" customWidth="1"/>
    <col min="5" max="5" width="17.85546875" style="62" bestFit="1" customWidth="1"/>
    <col min="6" max="6" width="6.28515625" style="62" bestFit="1" customWidth="1"/>
    <col min="7" max="7" width="14.140625" style="63" bestFit="1" customWidth="1"/>
    <col min="8" max="8" width="7.7109375" style="62" bestFit="1" customWidth="1"/>
    <col min="9" max="9" width="7.28515625" style="66" bestFit="1" customWidth="1"/>
    <col min="10" max="10" width="8.28515625" style="66" bestFit="1" customWidth="1"/>
    <col min="11" max="12" width="7.85546875" style="66" bestFit="1" customWidth="1"/>
    <col min="13" max="13" width="26.140625" style="62" bestFit="1" customWidth="1"/>
    <col min="14" max="14" width="10.42578125" style="62" customWidth="1"/>
    <col min="15" max="15" width="11.5703125" style="62" customWidth="1"/>
    <col min="16" max="16" width="13.140625" style="62" bestFit="1" customWidth="1"/>
    <col min="17" max="17" width="8.42578125" style="62" bestFit="1" customWidth="1"/>
    <col min="18" max="18" width="15.7109375" style="62" bestFit="1" customWidth="1"/>
    <col min="19" max="19" width="8" style="62" bestFit="1" customWidth="1"/>
    <col min="20" max="20" width="8.5703125" style="62" bestFit="1" customWidth="1"/>
    <col min="21" max="21" width="7.85546875" style="62" bestFit="1" customWidth="1"/>
    <col min="22" max="22" width="7.28515625" style="62" bestFit="1" customWidth="1"/>
    <col min="23" max="23" width="8.28515625" style="62" bestFit="1" customWidth="1"/>
    <col min="24" max="24" width="8.140625" style="62" bestFit="1" customWidth="1"/>
    <col min="25" max="25" width="7.85546875" style="62" bestFit="1" customWidth="1"/>
    <col min="26" max="26" width="8.42578125" style="62" bestFit="1" customWidth="1"/>
    <col min="27" max="27" width="8.140625" style="66" bestFit="1" customWidth="1"/>
    <col min="28" max="28" width="7.7109375" style="66" bestFit="1" customWidth="1"/>
    <col min="29" max="29" width="8.140625" style="66" bestFit="1" customWidth="1"/>
    <col min="30" max="30" width="5" style="46" bestFit="1" customWidth="1"/>
  </cols>
  <sheetData>
    <row r="1" spans="1:30" s="18" customFormat="1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11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</row>
    <row r="2" spans="1:30" ht="16.149999999999999" customHeight="1" x14ac:dyDescent="0.25">
      <c r="A2" s="19" t="s">
        <v>30</v>
      </c>
      <c r="B2" s="19" t="s">
        <v>31</v>
      </c>
      <c r="C2" s="19" t="s">
        <v>32</v>
      </c>
      <c r="D2" s="19" t="s">
        <v>33</v>
      </c>
      <c r="E2" s="20" t="s">
        <v>34</v>
      </c>
      <c r="F2" s="21">
        <v>2</v>
      </c>
      <c r="G2" s="22" t="s">
        <v>35</v>
      </c>
      <c r="H2" s="23">
        <v>4000</v>
      </c>
      <c r="I2" s="24">
        <v>4000</v>
      </c>
      <c r="J2" s="23">
        <v>4000</v>
      </c>
      <c r="K2" s="25">
        <f t="shared" ref="K2:K65" si="0">I2-J2</f>
        <v>0</v>
      </c>
      <c r="L2" s="26">
        <f t="shared" ref="L2:L65" si="1">K2/H2</f>
        <v>0</v>
      </c>
      <c r="M2" s="27">
        <v>0</v>
      </c>
      <c r="N2" s="28">
        <f t="shared" ref="N2:N65" si="2">I2+M2</f>
        <v>4000</v>
      </c>
      <c r="O2" s="29">
        <f>N2/1</f>
        <v>4000</v>
      </c>
      <c r="P2" s="29">
        <f>ROUND(O2,-2)</f>
        <v>4000</v>
      </c>
      <c r="Q2" s="30" t="e" cm="1">
        <f t="array" aca="1" ref="Q2" ca="1">spellNumber(P2)</f>
        <v>#NAME?</v>
      </c>
      <c r="R2" s="31">
        <f>P2+200</f>
        <v>4200</v>
      </c>
      <c r="S2" s="32">
        <v>6500</v>
      </c>
      <c r="T2" s="32">
        <v>9000</v>
      </c>
      <c r="U2" s="32">
        <v>8000</v>
      </c>
      <c r="V2" s="32">
        <v>0</v>
      </c>
      <c r="W2" s="32">
        <v>4000</v>
      </c>
      <c r="X2" s="32">
        <v>4000</v>
      </c>
      <c r="Y2" s="32">
        <v>4000</v>
      </c>
      <c r="Z2" s="32">
        <v>8000</v>
      </c>
      <c r="AA2" s="33">
        <v>0</v>
      </c>
      <c r="AB2" s="34">
        <v>4000</v>
      </c>
      <c r="AC2" s="35">
        <v>4000</v>
      </c>
      <c r="AD2" s="36"/>
    </row>
    <row r="3" spans="1:30" ht="16.5" customHeight="1" x14ac:dyDescent="0.25">
      <c r="A3" s="19" t="s">
        <v>36</v>
      </c>
      <c r="B3" s="19" t="s">
        <v>37</v>
      </c>
      <c r="C3" s="19" t="s">
        <v>38</v>
      </c>
      <c r="D3" s="19" t="s">
        <v>39</v>
      </c>
      <c r="E3" s="20" t="s">
        <v>40</v>
      </c>
      <c r="F3" s="21">
        <v>4</v>
      </c>
      <c r="G3" s="22" t="s">
        <v>41</v>
      </c>
      <c r="H3" s="23">
        <v>9000</v>
      </c>
      <c r="I3" s="24">
        <v>9000</v>
      </c>
      <c r="J3" s="23">
        <v>9000</v>
      </c>
      <c r="K3" s="25">
        <f t="shared" si="0"/>
        <v>0</v>
      </c>
      <c r="L3" s="26">
        <f t="shared" si="1"/>
        <v>0</v>
      </c>
      <c r="M3" s="27">
        <v>0</v>
      </c>
      <c r="N3" s="28">
        <f t="shared" si="2"/>
        <v>9000</v>
      </c>
      <c r="O3" s="29">
        <f t="shared" ref="O3:O66" si="3">N3/1</f>
        <v>9000</v>
      </c>
      <c r="P3" s="29">
        <f t="shared" ref="P3:P66" si="4">ROUND(O3,-2)</f>
        <v>9000</v>
      </c>
      <c r="Q3" s="30" t="e" cm="1">
        <f t="array" aca="1" ref="Q3" ca="1">spellNumber(P3)</f>
        <v>#NAME?</v>
      </c>
      <c r="R3" s="31">
        <f t="shared" ref="R3:R66" si="5">P3+200</f>
        <v>9200</v>
      </c>
      <c r="S3" s="32">
        <v>19000</v>
      </c>
      <c r="T3" s="32">
        <v>9000</v>
      </c>
      <c r="U3" s="32">
        <v>9000</v>
      </c>
      <c r="V3" s="32">
        <v>9000</v>
      </c>
      <c r="W3" s="32">
        <v>9000</v>
      </c>
      <c r="X3" s="32">
        <v>9000</v>
      </c>
      <c r="Y3" s="32">
        <v>9000</v>
      </c>
      <c r="Z3" s="32">
        <v>9000</v>
      </c>
      <c r="AA3" s="33">
        <v>9000</v>
      </c>
      <c r="AB3" s="34">
        <v>9000</v>
      </c>
      <c r="AC3" s="35">
        <v>9000</v>
      </c>
      <c r="AD3" s="36"/>
    </row>
    <row r="4" spans="1:30" ht="16.5" customHeight="1" x14ac:dyDescent="0.25">
      <c r="A4" s="19" t="s">
        <v>42</v>
      </c>
      <c r="B4" s="19" t="s">
        <v>43</v>
      </c>
      <c r="C4" s="19" t="s">
        <v>44</v>
      </c>
      <c r="D4" s="19" t="s">
        <v>45</v>
      </c>
      <c r="E4" s="20"/>
      <c r="F4" s="21">
        <v>2</v>
      </c>
      <c r="G4" s="22" t="s">
        <v>41</v>
      </c>
      <c r="H4" s="23">
        <v>4000</v>
      </c>
      <c r="I4" s="24">
        <v>4000</v>
      </c>
      <c r="J4" s="23">
        <v>4000</v>
      </c>
      <c r="K4" s="25">
        <f t="shared" si="0"/>
        <v>0</v>
      </c>
      <c r="L4" s="26">
        <f t="shared" si="1"/>
        <v>0</v>
      </c>
      <c r="M4" s="27">
        <v>0</v>
      </c>
      <c r="N4" s="28">
        <f t="shared" si="2"/>
        <v>4000</v>
      </c>
      <c r="O4" s="29">
        <f t="shared" si="3"/>
        <v>4000</v>
      </c>
      <c r="P4" s="29">
        <f t="shared" si="4"/>
        <v>4000</v>
      </c>
      <c r="Q4" s="30" t="e" cm="1">
        <f t="array" aca="1" ref="Q4" ca="1">spellNumber(P4)</f>
        <v>#NAME?</v>
      </c>
      <c r="R4" s="31">
        <f t="shared" si="5"/>
        <v>4200</v>
      </c>
      <c r="S4" s="32">
        <v>8000</v>
      </c>
      <c r="T4" s="32">
        <v>4000</v>
      </c>
      <c r="U4" s="32">
        <v>4000</v>
      </c>
      <c r="V4" s="32">
        <v>4000</v>
      </c>
      <c r="W4" s="32">
        <v>4000</v>
      </c>
      <c r="X4" s="32">
        <v>4000</v>
      </c>
      <c r="Y4" s="32">
        <v>4000</v>
      </c>
      <c r="Z4" s="32">
        <v>4000</v>
      </c>
      <c r="AA4" s="33">
        <v>4000</v>
      </c>
      <c r="AB4" s="34">
        <v>4000</v>
      </c>
      <c r="AC4" s="35">
        <v>4000</v>
      </c>
      <c r="AD4" s="36"/>
    </row>
    <row r="5" spans="1:30" ht="16.5" customHeight="1" x14ac:dyDescent="0.25">
      <c r="A5" s="19" t="s">
        <v>46</v>
      </c>
      <c r="B5" s="19" t="s">
        <v>47</v>
      </c>
      <c r="C5" s="19" t="s">
        <v>48</v>
      </c>
      <c r="D5" s="19" t="s">
        <v>49</v>
      </c>
      <c r="E5" s="20" t="s">
        <v>40</v>
      </c>
      <c r="F5" s="21">
        <v>3</v>
      </c>
      <c r="G5" s="22" t="s">
        <v>50</v>
      </c>
      <c r="H5" s="23">
        <v>5000</v>
      </c>
      <c r="I5" s="24">
        <v>5000</v>
      </c>
      <c r="J5" s="23">
        <v>5000</v>
      </c>
      <c r="K5" s="25">
        <f t="shared" si="0"/>
        <v>0</v>
      </c>
      <c r="L5" s="26">
        <f t="shared" si="1"/>
        <v>0</v>
      </c>
      <c r="M5" s="27">
        <v>0</v>
      </c>
      <c r="N5" s="28">
        <f t="shared" si="2"/>
        <v>5000</v>
      </c>
      <c r="O5" s="29">
        <f t="shared" si="3"/>
        <v>5000</v>
      </c>
      <c r="P5" s="29">
        <f t="shared" si="4"/>
        <v>5000</v>
      </c>
      <c r="Q5" s="30" t="e" cm="1">
        <f t="array" aca="1" ref="Q5" ca="1">spellNumber(P5)</f>
        <v>#NAME?</v>
      </c>
      <c r="R5" s="31">
        <f t="shared" si="5"/>
        <v>5200</v>
      </c>
      <c r="S5" s="32">
        <v>11000</v>
      </c>
      <c r="T5" s="32">
        <v>5000</v>
      </c>
      <c r="U5" s="32">
        <v>5000</v>
      </c>
      <c r="V5" s="32">
        <v>5000</v>
      </c>
      <c r="W5" s="32">
        <v>5000</v>
      </c>
      <c r="X5" s="32">
        <v>5000</v>
      </c>
      <c r="Y5" s="32">
        <v>5000</v>
      </c>
      <c r="Z5" s="32">
        <v>5000</v>
      </c>
      <c r="AA5" s="33">
        <v>5000</v>
      </c>
      <c r="AB5" s="34">
        <v>5000</v>
      </c>
      <c r="AC5" s="35">
        <v>5000</v>
      </c>
      <c r="AD5" s="36"/>
    </row>
    <row r="6" spans="1:30" ht="16.5" customHeight="1" x14ac:dyDescent="0.25">
      <c r="A6" s="19" t="s">
        <v>51</v>
      </c>
      <c r="B6" s="19" t="s">
        <v>52</v>
      </c>
      <c r="C6" s="19" t="s">
        <v>53</v>
      </c>
      <c r="D6" s="19" t="s">
        <v>54</v>
      </c>
      <c r="E6" s="20" t="s">
        <v>40</v>
      </c>
      <c r="F6" s="21">
        <v>1</v>
      </c>
      <c r="G6" s="22" t="s">
        <v>55</v>
      </c>
      <c r="H6" s="23">
        <v>2500</v>
      </c>
      <c r="I6" s="24">
        <v>10500</v>
      </c>
      <c r="J6" s="23">
        <v>7000</v>
      </c>
      <c r="K6" s="25">
        <f t="shared" si="0"/>
        <v>3500</v>
      </c>
      <c r="L6" s="26">
        <f t="shared" si="1"/>
        <v>1.4</v>
      </c>
      <c r="M6" s="27">
        <v>0</v>
      </c>
      <c r="N6" s="28">
        <f t="shared" si="2"/>
        <v>10500</v>
      </c>
      <c r="O6" s="29">
        <f t="shared" si="3"/>
        <v>10500</v>
      </c>
      <c r="P6" s="29">
        <f t="shared" si="4"/>
        <v>10500</v>
      </c>
      <c r="Q6" s="30" t="e" cm="1">
        <f t="array" aca="1" ref="Q6" ca="1">spellNumber(P6)</f>
        <v>#NAME?</v>
      </c>
      <c r="R6" s="31">
        <f t="shared" si="5"/>
        <v>10700</v>
      </c>
      <c r="S6" s="32">
        <v>0</v>
      </c>
      <c r="T6" s="32">
        <v>5000</v>
      </c>
      <c r="U6" s="32">
        <v>0</v>
      </c>
      <c r="V6" s="32">
        <v>5000</v>
      </c>
      <c r="W6" s="32">
        <v>0</v>
      </c>
      <c r="X6" s="32">
        <v>2500</v>
      </c>
      <c r="Y6" s="32">
        <v>0</v>
      </c>
      <c r="Z6" s="32">
        <v>3500</v>
      </c>
      <c r="AA6" s="33">
        <v>3500</v>
      </c>
      <c r="AB6" s="34">
        <v>0</v>
      </c>
      <c r="AC6" s="35">
        <v>0</v>
      </c>
      <c r="AD6" s="36"/>
    </row>
    <row r="7" spans="1:30" ht="16.5" customHeight="1" x14ac:dyDescent="0.25">
      <c r="A7" s="19" t="s">
        <v>56</v>
      </c>
      <c r="B7" s="19" t="s">
        <v>57</v>
      </c>
      <c r="C7" s="19" t="s">
        <v>58</v>
      </c>
      <c r="D7" s="19" t="s">
        <v>54</v>
      </c>
      <c r="E7" s="20" t="s">
        <v>34</v>
      </c>
      <c r="F7" s="21">
        <v>1</v>
      </c>
      <c r="G7" s="22" t="s">
        <v>59</v>
      </c>
      <c r="H7" s="23">
        <v>2500</v>
      </c>
      <c r="I7" s="24">
        <v>5000</v>
      </c>
      <c r="J7" s="23">
        <v>5000</v>
      </c>
      <c r="K7" s="25">
        <f t="shared" si="0"/>
        <v>0</v>
      </c>
      <c r="L7" s="26">
        <f t="shared" si="1"/>
        <v>0</v>
      </c>
      <c r="M7" s="27">
        <v>0</v>
      </c>
      <c r="N7" s="28">
        <f t="shared" si="2"/>
        <v>5000</v>
      </c>
      <c r="O7" s="29">
        <f t="shared" si="3"/>
        <v>5000</v>
      </c>
      <c r="P7" s="29">
        <f t="shared" si="4"/>
        <v>5000</v>
      </c>
      <c r="Q7" s="30" t="e" cm="1">
        <f t="array" aca="1" ref="Q7" ca="1">spellNumber(P7)</f>
        <v>#NAME?</v>
      </c>
      <c r="R7" s="31">
        <f t="shared" si="5"/>
        <v>5200</v>
      </c>
      <c r="S7" s="32">
        <v>5500</v>
      </c>
      <c r="T7" s="32">
        <v>2500</v>
      </c>
      <c r="U7" s="32">
        <v>2500</v>
      </c>
      <c r="V7" s="32">
        <v>2500</v>
      </c>
      <c r="W7" s="32">
        <v>2500</v>
      </c>
      <c r="X7" s="32">
        <v>2500</v>
      </c>
      <c r="Y7" s="32">
        <v>2500</v>
      </c>
      <c r="Z7" s="32">
        <v>2500</v>
      </c>
      <c r="AA7" s="33">
        <v>0</v>
      </c>
      <c r="AB7" s="34">
        <v>0</v>
      </c>
      <c r="AC7" s="35">
        <v>5000</v>
      </c>
      <c r="AD7" s="36"/>
    </row>
    <row r="8" spans="1:30" ht="16.5" customHeight="1" x14ac:dyDescent="0.25">
      <c r="A8" s="19" t="s">
        <v>60</v>
      </c>
      <c r="B8" s="19" t="s">
        <v>61</v>
      </c>
      <c r="C8" s="19" t="s">
        <v>62</v>
      </c>
      <c r="D8" s="19" t="s">
        <v>63</v>
      </c>
      <c r="E8" s="20" t="s">
        <v>40</v>
      </c>
      <c r="F8" s="21">
        <v>2</v>
      </c>
      <c r="G8" s="22" t="s">
        <v>64</v>
      </c>
      <c r="H8" s="23">
        <v>2500</v>
      </c>
      <c r="I8" s="24">
        <v>2500</v>
      </c>
      <c r="J8" s="23">
        <v>2500</v>
      </c>
      <c r="K8" s="25">
        <f t="shared" si="0"/>
        <v>0</v>
      </c>
      <c r="L8" s="26">
        <f t="shared" si="1"/>
        <v>0</v>
      </c>
      <c r="M8" s="27">
        <v>0</v>
      </c>
      <c r="N8" s="28">
        <f t="shared" si="2"/>
        <v>2500</v>
      </c>
      <c r="O8" s="29">
        <f t="shared" si="3"/>
        <v>2500</v>
      </c>
      <c r="P8" s="29">
        <f t="shared" si="4"/>
        <v>2500</v>
      </c>
      <c r="Q8" s="30" t="e" cm="1">
        <f t="array" aca="1" ref="Q8" ca="1">spellNumber(P8)</f>
        <v>#NAME?</v>
      </c>
      <c r="R8" s="31">
        <f t="shared" si="5"/>
        <v>2700</v>
      </c>
      <c r="S8" s="32">
        <v>2000</v>
      </c>
      <c r="T8" s="32">
        <v>3000</v>
      </c>
      <c r="U8" s="32">
        <v>4000</v>
      </c>
      <c r="V8" s="32">
        <v>3000</v>
      </c>
      <c r="W8" s="32">
        <v>4000</v>
      </c>
      <c r="X8" s="32">
        <v>4000</v>
      </c>
      <c r="Y8" s="32">
        <v>2500</v>
      </c>
      <c r="Z8" s="32">
        <v>4500</v>
      </c>
      <c r="AA8" s="33">
        <v>2500</v>
      </c>
      <c r="AB8" s="34">
        <v>2500</v>
      </c>
      <c r="AC8" s="35">
        <v>2500</v>
      </c>
      <c r="AD8" s="36"/>
    </row>
    <row r="9" spans="1:30" ht="16.5" customHeight="1" x14ac:dyDescent="0.25">
      <c r="A9" s="19" t="s">
        <v>65</v>
      </c>
      <c r="B9" s="19" t="s">
        <v>66</v>
      </c>
      <c r="C9" s="19" t="s">
        <v>67</v>
      </c>
      <c r="D9" s="19" t="s">
        <v>68</v>
      </c>
      <c r="E9" s="20" t="s">
        <v>40</v>
      </c>
      <c r="F9" s="21">
        <v>2</v>
      </c>
      <c r="G9" s="22" t="s">
        <v>69</v>
      </c>
      <c r="H9" s="23">
        <v>5000</v>
      </c>
      <c r="I9" s="24">
        <v>0</v>
      </c>
      <c r="J9" s="23">
        <v>0</v>
      </c>
      <c r="K9" s="25">
        <f t="shared" si="0"/>
        <v>0</v>
      </c>
      <c r="L9" s="26">
        <f t="shared" si="1"/>
        <v>0</v>
      </c>
      <c r="M9" s="27">
        <v>0</v>
      </c>
      <c r="N9" s="28">
        <f t="shared" si="2"/>
        <v>0</v>
      </c>
      <c r="O9" s="29">
        <f t="shared" si="3"/>
        <v>0</v>
      </c>
      <c r="P9" s="29">
        <f t="shared" si="4"/>
        <v>0</v>
      </c>
      <c r="Q9" s="30" t="e" cm="1">
        <f t="array" aca="1" ref="Q9" ca="1">spellNumber(P9)</f>
        <v>#NAME?</v>
      </c>
      <c r="R9" s="31">
        <f t="shared" si="5"/>
        <v>200</v>
      </c>
      <c r="S9" s="32">
        <v>5500</v>
      </c>
      <c r="T9" s="32">
        <v>5000</v>
      </c>
      <c r="U9" s="32">
        <v>5000</v>
      </c>
      <c r="V9" s="32">
        <v>8000</v>
      </c>
      <c r="W9" s="32">
        <v>5000</v>
      </c>
      <c r="X9" s="32">
        <v>35000</v>
      </c>
      <c r="Y9" s="32">
        <v>0</v>
      </c>
      <c r="Z9" s="32">
        <v>0</v>
      </c>
      <c r="AA9" s="33">
        <v>0</v>
      </c>
      <c r="AB9" s="34">
        <v>0</v>
      </c>
      <c r="AC9" s="35">
        <v>0</v>
      </c>
      <c r="AD9" s="36"/>
    </row>
    <row r="10" spans="1:30" ht="16.5" customHeight="1" x14ac:dyDescent="0.25">
      <c r="A10" s="19" t="s">
        <v>70</v>
      </c>
      <c r="B10" s="19" t="s">
        <v>71</v>
      </c>
      <c r="C10" s="19" t="s">
        <v>72</v>
      </c>
      <c r="D10" s="19" t="s">
        <v>73</v>
      </c>
      <c r="E10" s="20" t="s">
        <v>40</v>
      </c>
      <c r="F10" s="21">
        <v>3</v>
      </c>
      <c r="G10" s="22" t="s">
        <v>74</v>
      </c>
      <c r="H10" s="23">
        <v>6500</v>
      </c>
      <c r="I10" s="24">
        <v>6500</v>
      </c>
      <c r="J10" s="23">
        <v>6500</v>
      </c>
      <c r="K10" s="25">
        <f t="shared" si="0"/>
        <v>0</v>
      </c>
      <c r="L10" s="26">
        <f t="shared" si="1"/>
        <v>0</v>
      </c>
      <c r="M10" s="27">
        <v>0</v>
      </c>
      <c r="N10" s="28">
        <f t="shared" si="2"/>
        <v>6500</v>
      </c>
      <c r="O10" s="29">
        <f t="shared" si="3"/>
        <v>6500</v>
      </c>
      <c r="P10" s="29">
        <f t="shared" si="4"/>
        <v>6500</v>
      </c>
      <c r="Q10" s="30" t="e" cm="1">
        <f t="array" aca="1" ref="Q10" ca="1">spellNumber(P10)</f>
        <v>#NAME?</v>
      </c>
      <c r="R10" s="31">
        <f t="shared" si="5"/>
        <v>6700</v>
      </c>
      <c r="S10" s="32">
        <v>0</v>
      </c>
      <c r="T10" s="32">
        <v>14500</v>
      </c>
      <c r="U10" s="32">
        <v>6500</v>
      </c>
      <c r="V10" s="32">
        <v>6500</v>
      </c>
      <c r="W10" s="32">
        <v>0</v>
      </c>
      <c r="X10" s="32">
        <v>13000</v>
      </c>
      <c r="Y10" s="32">
        <v>6500</v>
      </c>
      <c r="Z10" s="32">
        <v>6500</v>
      </c>
      <c r="AA10" s="33">
        <v>6500</v>
      </c>
      <c r="AB10" s="34">
        <v>6500</v>
      </c>
      <c r="AC10" s="35">
        <v>6500</v>
      </c>
      <c r="AD10" s="36"/>
    </row>
    <row r="11" spans="1:30" ht="15.75" x14ac:dyDescent="0.25">
      <c r="A11" s="19" t="s">
        <v>75</v>
      </c>
      <c r="B11" s="19" t="s">
        <v>76</v>
      </c>
      <c r="C11" s="19" t="s">
        <v>77</v>
      </c>
      <c r="D11" s="19" t="s">
        <v>78</v>
      </c>
      <c r="E11" s="20" t="s">
        <v>40</v>
      </c>
      <c r="F11" s="21">
        <v>2</v>
      </c>
      <c r="G11" s="22" t="s">
        <v>79</v>
      </c>
      <c r="H11" s="23">
        <v>4000</v>
      </c>
      <c r="I11" s="24">
        <v>4000</v>
      </c>
      <c r="J11" s="23">
        <v>4000</v>
      </c>
      <c r="K11" s="25">
        <f t="shared" si="0"/>
        <v>0</v>
      </c>
      <c r="L11" s="26">
        <f t="shared" si="1"/>
        <v>0</v>
      </c>
      <c r="M11" s="27">
        <v>0</v>
      </c>
      <c r="N11" s="28">
        <f t="shared" si="2"/>
        <v>4000</v>
      </c>
      <c r="O11" s="29">
        <f t="shared" si="3"/>
        <v>4000</v>
      </c>
      <c r="P11" s="29">
        <f t="shared" si="4"/>
        <v>4000</v>
      </c>
      <c r="Q11" s="30" t="e" cm="1">
        <f t="array" aca="1" ref="Q11" ca="1">spellNumber(P11)</f>
        <v>#NAME?</v>
      </c>
      <c r="R11" s="31">
        <f t="shared" si="5"/>
        <v>4200</v>
      </c>
      <c r="S11" s="32">
        <v>10000</v>
      </c>
      <c r="T11" s="32">
        <v>6000</v>
      </c>
      <c r="U11" s="32">
        <v>4000</v>
      </c>
      <c r="V11" s="32">
        <v>0</v>
      </c>
      <c r="W11" s="32">
        <v>0</v>
      </c>
      <c r="X11" s="32">
        <v>12000</v>
      </c>
      <c r="Y11" s="32">
        <v>4000</v>
      </c>
      <c r="Z11" s="32">
        <v>4000</v>
      </c>
      <c r="AA11" s="33">
        <v>4000</v>
      </c>
      <c r="AB11" s="34">
        <v>4000</v>
      </c>
      <c r="AC11" s="35">
        <v>4000</v>
      </c>
      <c r="AD11" s="36"/>
    </row>
    <row r="12" spans="1:30" ht="16.5" customHeight="1" x14ac:dyDescent="0.25">
      <c r="A12" s="19" t="s">
        <v>80</v>
      </c>
      <c r="B12" s="19" t="s">
        <v>81</v>
      </c>
      <c r="C12" s="19" t="s">
        <v>82</v>
      </c>
      <c r="D12" s="19" t="s">
        <v>83</v>
      </c>
      <c r="E12" s="20" t="s">
        <v>34</v>
      </c>
      <c r="F12" s="21">
        <v>1</v>
      </c>
      <c r="G12" s="22" t="s">
        <v>84</v>
      </c>
      <c r="H12" s="23">
        <v>2500</v>
      </c>
      <c r="I12" s="24">
        <v>0</v>
      </c>
      <c r="J12" s="23">
        <v>0</v>
      </c>
      <c r="K12" s="25">
        <f t="shared" si="0"/>
        <v>0</v>
      </c>
      <c r="L12" s="26">
        <f t="shared" si="1"/>
        <v>0</v>
      </c>
      <c r="M12" s="27">
        <v>0</v>
      </c>
      <c r="N12" s="28">
        <f t="shared" si="2"/>
        <v>0</v>
      </c>
      <c r="O12" s="29">
        <f t="shared" si="3"/>
        <v>0</v>
      </c>
      <c r="P12" s="29">
        <f t="shared" si="4"/>
        <v>0</v>
      </c>
      <c r="Q12" s="30" t="e" cm="1">
        <f t="array" aca="1" ref="Q12" ca="1">spellNumber(P12)</f>
        <v>#NAME?</v>
      </c>
      <c r="R12" s="31">
        <f t="shared" si="5"/>
        <v>200</v>
      </c>
      <c r="S12" s="32">
        <v>5500</v>
      </c>
      <c r="T12" s="32">
        <v>2500</v>
      </c>
      <c r="U12" s="32">
        <v>0</v>
      </c>
      <c r="V12" s="32">
        <v>0</v>
      </c>
      <c r="W12" s="32">
        <v>7500</v>
      </c>
      <c r="X12" s="32">
        <v>17500</v>
      </c>
      <c r="Y12" s="32">
        <v>0</v>
      </c>
      <c r="Z12" s="32">
        <v>0</v>
      </c>
      <c r="AA12" s="33">
        <v>0</v>
      </c>
      <c r="AB12" s="34">
        <v>0</v>
      </c>
      <c r="AC12" s="35">
        <v>0</v>
      </c>
      <c r="AD12" s="36"/>
    </row>
    <row r="13" spans="1:30" ht="16.5" customHeight="1" x14ac:dyDescent="0.25">
      <c r="A13" s="19" t="s">
        <v>85</v>
      </c>
      <c r="B13" s="19" t="s">
        <v>86</v>
      </c>
      <c r="C13" s="19" t="s">
        <v>87</v>
      </c>
      <c r="D13" s="19" t="s">
        <v>88</v>
      </c>
      <c r="E13" s="20" t="s">
        <v>40</v>
      </c>
      <c r="F13" s="21">
        <v>3</v>
      </c>
      <c r="G13" s="22" t="s">
        <v>89</v>
      </c>
      <c r="H13" s="23">
        <v>7000</v>
      </c>
      <c r="I13" s="24">
        <v>7000</v>
      </c>
      <c r="J13" s="23">
        <v>7000</v>
      </c>
      <c r="K13" s="25">
        <f t="shared" si="0"/>
        <v>0</v>
      </c>
      <c r="L13" s="26">
        <f t="shared" si="1"/>
        <v>0</v>
      </c>
      <c r="M13" s="27">
        <v>0</v>
      </c>
      <c r="N13" s="28">
        <f t="shared" si="2"/>
        <v>7000</v>
      </c>
      <c r="O13" s="29">
        <f t="shared" si="3"/>
        <v>7000</v>
      </c>
      <c r="P13" s="29">
        <f t="shared" si="4"/>
        <v>7000</v>
      </c>
      <c r="Q13" s="30" t="e" cm="1">
        <f t="array" aca="1" ref="Q13" ca="1">spellNumber(P13)</f>
        <v>#NAME?</v>
      </c>
      <c r="R13" s="31">
        <f t="shared" si="5"/>
        <v>7200</v>
      </c>
      <c r="S13" s="32">
        <v>0</v>
      </c>
      <c r="T13" s="32">
        <v>17500</v>
      </c>
      <c r="U13" s="32">
        <v>0</v>
      </c>
      <c r="V13" s="32">
        <v>5000</v>
      </c>
      <c r="W13" s="32">
        <v>0</v>
      </c>
      <c r="X13" s="32">
        <v>10000</v>
      </c>
      <c r="Y13" s="32">
        <v>7000</v>
      </c>
      <c r="Z13" s="32">
        <v>9600</v>
      </c>
      <c r="AA13" s="33">
        <v>17400</v>
      </c>
      <c r="AB13" s="34">
        <v>7000</v>
      </c>
      <c r="AC13" s="35">
        <v>7000</v>
      </c>
      <c r="AD13" s="36"/>
    </row>
    <row r="14" spans="1:30" ht="16.5" customHeight="1" x14ac:dyDescent="0.25">
      <c r="A14" s="19" t="s">
        <v>90</v>
      </c>
      <c r="B14" s="19" t="s">
        <v>91</v>
      </c>
      <c r="C14" s="19" t="s">
        <v>92</v>
      </c>
      <c r="D14" s="19" t="s">
        <v>93</v>
      </c>
      <c r="E14" s="20" t="s">
        <v>40</v>
      </c>
      <c r="F14" s="21">
        <v>1</v>
      </c>
      <c r="G14" s="22" t="s">
        <v>94</v>
      </c>
      <c r="H14" s="23">
        <v>2300</v>
      </c>
      <c r="I14" s="24">
        <v>2300</v>
      </c>
      <c r="J14" s="23">
        <v>2300</v>
      </c>
      <c r="K14" s="25">
        <f t="shared" si="0"/>
        <v>0</v>
      </c>
      <c r="L14" s="26">
        <f t="shared" si="1"/>
        <v>0</v>
      </c>
      <c r="M14" s="27">
        <v>0</v>
      </c>
      <c r="N14" s="28">
        <f t="shared" si="2"/>
        <v>2300</v>
      </c>
      <c r="O14" s="29">
        <f t="shared" si="3"/>
        <v>2300</v>
      </c>
      <c r="P14" s="29">
        <f t="shared" si="4"/>
        <v>2300</v>
      </c>
      <c r="Q14" s="30" t="e" cm="1">
        <f t="array" aca="1" ref="Q14" ca="1">spellNumber(P14)</f>
        <v>#NAME?</v>
      </c>
      <c r="R14" s="31">
        <f t="shared" si="5"/>
        <v>2500</v>
      </c>
      <c r="S14" s="32">
        <v>4600</v>
      </c>
      <c r="T14" s="32">
        <v>0</v>
      </c>
      <c r="U14" s="32">
        <v>0</v>
      </c>
      <c r="V14" s="32">
        <v>0</v>
      </c>
      <c r="W14" s="32">
        <v>0</v>
      </c>
      <c r="X14" s="32">
        <v>10000</v>
      </c>
      <c r="Y14" s="32">
        <v>0</v>
      </c>
      <c r="Z14" s="32">
        <v>7000</v>
      </c>
      <c r="AA14" s="33">
        <v>5000</v>
      </c>
      <c r="AB14" s="34">
        <v>0</v>
      </c>
      <c r="AC14" s="35">
        <v>5300</v>
      </c>
      <c r="AD14" s="36"/>
    </row>
    <row r="15" spans="1:30" ht="16.5" customHeight="1" x14ac:dyDescent="0.25">
      <c r="A15" s="19" t="s">
        <v>95</v>
      </c>
      <c r="B15" s="19" t="s">
        <v>96</v>
      </c>
      <c r="C15" s="19" t="s">
        <v>97</v>
      </c>
      <c r="D15" s="19" t="s">
        <v>93</v>
      </c>
      <c r="E15" s="20" t="s">
        <v>40</v>
      </c>
      <c r="F15" s="21">
        <v>1</v>
      </c>
      <c r="G15" s="22" t="s">
        <v>98</v>
      </c>
      <c r="H15" s="23">
        <v>2500</v>
      </c>
      <c r="I15" s="24">
        <v>17500</v>
      </c>
      <c r="J15" s="23">
        <v>0</v>
      </c>
      <c r="K15" s="37">
        <f t="shared" si="0"/>
        <v>17500</v>
      </c>
      <c r="L15" s="38">
        <f t="shared" si="1"/>
        <v>7</v>
      </c>
      <c r="M15" s="27">
        <v>0</v>
      </c>
      <c r="N15" s="28">
        <f t="shared" si="2"/>
        <v>17500</v>
      </c>
      <c r="O15" s="29">
        <f t="shared" si="3"/>
        <v>17500</v>
      </c>
      <c r="P15" s="29">
        <f t="shared" si="4"/>
        <v>17500</v>
      </c>
      <c r="Q15" s="30" t="e" cm="1">
        <f t="array" aca="1" ref="Q15" ca="1">spellNumber(P15)</f>
        <v>#NAME?</v>
      </c>
      <c r="R15" s="31">
        <f t="shared" si="5"/>
        <v>17700</v>
      </c>
      <c r="S15" s="32">
        <v>3500</v>
      </c>
      <c r="T15" s="32">
        <v>5000</v>
      </c>
      <c r="U15" s="32">
        <v>0</v>
      </c>
      <c r="V15" s="32">
        <v>0</v>
      </c>
      <c r="W15" s="32">
        <v>0</v>
      </c>
      <c r="X15" s="32">
        <v>5000</v>
      </c>
      <c r="Y15" s="32">
        <v>0</v>
      </c>
      <c r="Z15" s="32">
        <v>0</v>
      </c>
      <c r="AA15" s="33">
        <v>0</v>
      </c>
      <c r="AB15" s="34">
        <v>0</v>
      </c>
      <c r="AC15" s="35">
        <v>2500</v>
      </c>
      <c r="AD15" s="36"/>
    </row>
    <row r="16" spans="1:30" ht="16.5" customHeight="1" x14ac:dyDescent="0.25">
      <c r="A16" s="19" t="s">
        <v>99</v>
      </c>
      <c r="B16" s="19" t="s">
        <v>100</v>
      </c>
      <c r="C16" s="19" t="s">
        <v>101</v>
      </c>
      <c r="D16" s="19" t="s">
        <v>102</v>
      </c>
      <c r="E16" s="20" t="s">
        <v>34</v>
      </c>
      <c r="F16" s="21">
        <v>2</v>
      </c>
      <c r="G16" s="22" t="s">
        <v>103</v>
      </c>
      <c r="H16" s="23">
        <v>5000</v>
      </c>
      <c r="I16" s="24">
        <v>5000</v>
      </c>
      <c r="J16" s="23">
        <v>5000</v>
      </c>
      <c r="K16" s="25">
        <f t="shared" si="0"/>
        <v>0</v>
      </c>
      <c r="L16" s="39">
        <f t="shared" si="1"/>
        <v>0</v>
      </c>
      <c r="M16" s="27">
        <v>0</v>
      </c>
      <c r="N16" s="28">
        <f t="shared" si="2"/>
        <v>5000</v>
      </c>
      <c r="O16" s="29">
        <f t="shared" si="3"/>
        <v>5000</v>
      </c>
      <c r="P16" s="29">
        <f t="shared" si="4"/>
        <v>5000</v>
      </c>
      <c r="Q16" s="30" t="e" cm="1">
        <f t="array" aca="1" ref="Q16" ca="1">spellNumber(P16)</f>
        <v>#NAME?</v>
      </c>
      <c r="R16" s="31">
        <f t="shared" si="5"/>
        <v>5200</v>
      </c>
      <c r="S16" s="32">
        <v>0</v>
      </c>
      <c r="T16" s="32">
        <v>10000</v>
      </c>
      <c r="U16" s="32">
        <v>3000</v>
      </c>
      <c r="V16" s="32">
        <v>3000</v>
      </c>
      <c r="W16" s="32">
        <v>3000</v>
      </c>
      <c r="X16" s="32">
        <v>7000</v>
      </c>
      <c r="Y16" s="32">
        <v>5000</v>
      </c>
      <c r="Z16" s="32">
        <v>5000</v>
      </c>
      <c r="AA16" s="33">
        <v>5000</v>
      </c>
      <c r="AB16" s="34">
        <v>5000</v>
      </c>
      <c r="AC16" s="35">
        <v>5000</v>
      </c>
      <c r="AD16" s="36"/>
    </row>
    <row r="17" spans="1:30" ht="16.5" customHeight="1" x14ac:dyDescent="0.25">
      <c r="A17" s="19" t="s">
        <v>104</v>
      </c>
      <c r="B17" s="19" t="s">
        <v>105</v>
      </c>
      <c r="C17" s="19" t="s">
        <v>106</v>
      </c>
      <c r="D17" s="19" t="s">
        <v>107</v>
      </c>
      <c r="E17" s="20" t="s">
        <v>34</v>
      </c>
      <c r="F17" s="21">
        <v>2</v>
      </c>
      <c r="G17" s="22" t="s">
        <v>108</v>
      </c>
      <c r="H17" s="23">
        <v>4500</v>
      </c>
      <c r="I17" s="24">
        <v>14800</v>
      </c>
      <c r="J17" s="23">
        <v>14800</v>
      </c>
      <c r="K17" s="40">
        <f t="shared" si="0"/>
        <v>0</v>
      </c>
      <c r="L17" s="41">
        <f t="shared" si="1"/>
        <v>0</v>
      </c>
      <c r="M17" s="27">
        <v>0</v>
      </c>
      <c r="N17" s="28">
        <f t="shared" si="2"/>
        <v>14800</v>
      </c>
      <c r="O17" s="29">
        <f t="shared" si="3"/>
        <v>14800</v>
      </c>
      <c r="P17" s="29">
        <f t="shared" si="4"/>
        <v>14800</v>
      </c>
      <c r="Q17" s="30" t="e" cm="1">
        <f t="array" aca="1" ref="Q17" ca="1">spellNumber(P17)</f>
        <v>#NAME?</v>
      </c>
      <c r="R17" s="31">
        <f t="shared" si="5"/>
        <v>15000</v>
      </c>
      <c r="S17" s="32">
        <v>21000</v>
      </c>
      <c r="T17" s="32">
        <v>0</v>
      </c>
      <c r="U17" s="32">
        <v>0</v>
      </c>
      <c r="V17" s="32">
        <v>13500</v>
      </c>
      <c r="W17" s="32">
        <v>4500</v>
      </c>
      <c r="X17" s="32">
        <v>4500</v>
      </c>
      <c r="Y17" s="32">
        <v>4500</v>
      </c>
      <c r="Z17" s="32">
        <v>0</v>
      </c>
      <c r="AA17" s="33">
        <v>0</v>
      </c>
      <c r="AB17" s="34">
        <v>7500</v>
      </c>
      <c r="AC17" s="35">
        <v>0</v>
      </c>
      <c r="AD17" s="36"/>
    </row>
    <row r="18" spans="1:30" ht="16.149999999999999" customHeight="1" x14ac:dyDescent="0.25">
      <c r="A18" s="19" t="s">
        <v>109</v>
      </c>
      <c r="B18" s="19" t="s">
        <v>110</v>
      </c>
      <c r="C18" s="19" t="s">
        <v>111</v>
      </c>
      <c r="D18" s="19" t="s">
        <v>112</v>
      </c>
      <c r="E18" s="20" t="s">
        <v>34</v>
      </c>
      <c r="F18" s="21">
        <v>2</v>
      </c>
      <c r="G18" s="22" t="s">
        <v>113</v>
      </c>
      <c r="H18" s="23">
        <v>5000</v>
      </c>
      <c r="I18" s="24">
        <v>5000</v>
      </c>
      <c r="J18" s="23">
        <v>5000</v>
      </c>
      <c r="K18" s="25">
        <f t="shared" si="0"/>
        <v>0</v>
      </c>
      <c r="L18" s="26">
        <f t="shared" si="1"/>
        <v>0</v>
      </c>
      <c r="M18" s="27">
        <v>0</v>
      </c>
      <c r="N18" s="28">
        <f t="shared" si="2"/>
        <v>5000</v>
      </c>
      <c r="O18" s="29">
        <f t="shared" si="3"/>
        <v>5000</v>
      </c>
      <c r="P18" s="29">
        <f t="shared" si="4"/>
        <v>5000</v>
      </c>
      <c r="Q18" s="30" t="e" cm="1">
        <f t="array" aca="1" ref="Q18" ca="1">spellNumber(P18)</f>
        <v>#NAME?</v>
      </c>
      <c r="R18" s="31">
        <f t="shared" si="5"/>
        <v>5200</v>
      </c>
      <c r="S18" s="32">
        <v>11000</v>
      </c>
      <c r="T18" s="32">
        <v>5000</v>
      </c>
      <c r="U18" s="32">
        <v>5000</v>
      </c>
      <c r="V18" s="32">
        <v>5000</v>
      </c>
      <c r="W18" s="32">
        <v>5000</v>
      </c>
      <c r="X18" s="32">
        <v>5000</v>
      </c>
      <c r="Y18" s="32">
        <v>5000</v>
      </c>
      <c r="Z18" s="32">
        <v>5000</v>
      </c>
      <c r="AA18" s="33">
        <v>5000</v>
      </c>
      <c r="AB18" s="34">
        <v>5000</v>
      </c>
      <c r="AC18" s="35">
        <v>0</v>
      </c>
      <c r="AD18" s="36"/>
    </row>
    <row r="19" spans="1:30" ht="16.5" customHeight="1" x14ac:dyDescent="0.25">
      <c r="A19" s="19" t="s">
        <v>114</v>
      </c>
      <c r="B19" s="19" t="s">
        <v>115</v>
      </c>
      <c r="C19" s="19" t="s">
        <v>116</v>
      </c>
      <c r="D19" s="19" t="s">
        <v>117</v>
      </c>
      <c r="E19" s="20" t="s">
        <v>40</v>
      </c>
      <c r="F19" s="21">
        <v>4</v>
      </c>
      <c r="G19" s="42" t="s">
        <v>118</v>
      </c>
      <c r="H19" s="23">
        <v>5000</v>
      </c>
      <c r="I19" s="24">
        <v>65000</v>
      </c>
      <c r="J19" s="23">
        <v>40000</v>
      </c>
      <c r="K19" s="37">
        <f t="shared" si="0"/>
        <v>25000</v>
      </c>
      <c r="L19" s="38">
        <f t="shared" si="1"/>
        <v>5</v>
      </c>
      <c r="M19" s="27">
        <v>0</v>
      </c>
      <c r="N19" s="28">
        <f t="shared" si="2"/>
        <v>65000</v>
      </c>
      <c r="O19" s="29">
        <f t="shared" si="3"/>
        <v>65000</v>
      </c>
      <c r="P19" s="29">
        <f t="shared" si="4"/>
        <v>65000</v>
      </c>
      <c r="Q19" s="30" t="e" cm="1">
        <f t="array" aca="1" ref="Q19" ca="1">spellNumber(P19)</f>
        <v>#NAME?</v>
      </c>
      <c r="R19" s="31">
        <f t="shared" si="5"/>
        <v>65200</v>
      </c>
      <c r="S19" s="32">
        <v>10000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3">
        <v>0</v>
      </c>
      <c r="AB19" s="34">
        <v>0</v>
      </c>
      <c r="AC19" s="35">
        <v>0</v>
      </c>
      <c r="AD19" s="36"/>
    </row>
    <row r="20" spans="1:30" ht="16.5" customHeight="1" x14ac:dyDescent="0.25">
      <c r="A20" s="19" t="s">
        <v>119</v>
      </c>
      <c r="B20" s="19" t="s">
        <v>120</v>
      </c>
      <c r="C20" s="19" t="s">
        <v>121</v>
      </c>
      <c r="D20" s="19" t="s">
        <v>122</v>
      </c>
      <c r="E20" s="20" t="s">
        <v>40</v>
      </c>
      <c r="F20" s="21">
        <v>3</v>
      </c>
      <c r="G20" s="22" t="s">
        <v>123</v>
      </c>
      <c r="H20" s="23">
        <v>7000</v>
      </c>
      <c r="I20" s="24">
        <v>80009</v>
      </c>
      <c r="J20" s="23">
        <v>30000</v>
      </c>
      <c r="K20" s="25">
        <f t="shared" si="0"/>
        <v>50009</v>
      </c>
      <c r="L20" s="39">
        <f t="shared" si="1"/>
        <v>7.1441428571428576</v>
      </c>
      <c r="M20" s="27">
        <v>0</v>
      </c>
      <c r="N20" s="28">
        <f t="shared" si="2"/>
        <v>80009</v>
      </c>
      <c r="O20" s="29">
        <f t="shared" si="3"/>
        <v>80009</v>
      </c>
      <c r="P20" s="29">
        <f t="shared" si="4"/>
        <v>80000</v>
      </c>
      <c r="Q20" s="30" t="e" cm="1">
        <f t="array" aca="1" ref="Q20" ca="1">spellNumber(P20)</f>
        <v>#NAME?</v>
      </c>
      <c r="R20" s="31">
        <f t="shared" si="5"/>
        <v>80200</v>
      </c>
      <c r="S20" s="32">
        <v>83000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3">
        <v>0</v>
      </c>
      <c r="AB20" s="34">
        <v>0</v>
      </c>
      <c r="AC20" s="35">
        <v>0</v>
      </c>
      <c r="AD20" s="36"/>
    </row>
    <row r="21" spans="1:30" ht="16.5" customHeight="1" x14ac:dyDescent="0.25">
      <c r="A21" s="19" t="s">
        <v>124</v>
      </c>
      <c r="B21" s="19" t="s">
        <v>125</v>
      </c>
      <c r="C21" s="19" t="s">
        <v>126</v>
      </c>
      <c r="D21" s="19" t="s">
        <v>127</v>
      </c>
      <c r="E21" s="20" t="s">
        <v>40</v>
      </c>
      <c r="F21" s="21">
        <v>5</v>
      </c>
      <c r="G21" s="22" t="s">
        <v>128</v>
      </c>
      <c r="H21" s="23">
        <v>8000</v>
      </c>
      <c r="I21" s="24">
        <v>8000</v>
      </c>
      <c r="J21" s="23">
        <v>8000</v>
      </c>
      <c r="K21" s="43">
        <f t="shared" si="0"/>
        <v>0</v>
      </c>
      <c r="L21" s="44">
        <f t="shared" si="1"/>
        <v>0</v>
      </c>
      <c r="M21" s="27">
        <v>0</v>
      </c>
      <c r="N21" s="28">
        <f t="shared" si="2"/>
        <v>8000</v>
      </c>
      <c r="O21" s="29">
        <f t="shared" si="3"/>
        <v>8000</v>
      </c>
      <c r="P21" s="29">
        <f t="shared" si="4"/>
        <v>8000</v>
      </c>
      <c r="Q21" s="30" t="e" cm="1">
        <f t="array" aca="1" ref="Q21" ca="1">spellNumber(P21)</f>
        <v>#NAME?</v>
      </c>
      <c r="R21" s="31">
        <f t="shared" si="5"/>
        <v>8200</v>
      </c>
      <c r="S21" s="32">
        <v>21000</v>
      </c>
      <c r="T21" s="32">
        <v>8000</v>
      </c>
      <c r="U21" s="32">
        <v>0</v>
      </c>
      <c r="V21" s="32">
        <v>21000</v>
      </c>
      <c r="W21" s="32">
        <v>0</v>
      </c>
      <c r="X21" s="32">
        <v>16000</v>
      </c>
      <c r="Y21" s="32">
        <v>8000</v>
      </c>
      <c r="Z21" s="32">
        <v>8000</v>
      </c>
      <c r="AA21" s="33">
        <v>8000</v>
      </c>
      <c r="AB21" s="34">
        <v>8000</v>
      </c>
      <c r="AC21" s="35">
        <v>8000</v>
      </c>
      <c r="AD21" s="36"/>
    </row>
    <row r="22" spans="1:30" ht="16.5" customHeight="1" x14ac:dyDescent="0.25">
      <c r="A22" s="19" t="s">
        <v>129</v>
      </c>
      <c r="B22" s="19" t="s">
        <v>130</v>
      </c>
      <c r="C22" s="19" t="s">
        <v>131</v>
      </c>
      <c r="D22" s="19" t="s">
        <v>132</v>
      </c>
      <c r="E22" s="20" t="s">
        <v>40</v>
      </c>
      <c r="F22" s="21">
        <v>6</v>
      </c>
      <c r="G22" s="22" t="s">
        <v>133</v>
      </c>
      <c r="H22" s="23">
        <v>5500</v>
      </c>
      <c r="I22" s="24">
        <v>5500</v>
      </c>
      <c r="J22" s="23">
        <v>0</v>
      </c>
      <c r="K22" s="25">
        <f t="shared" si="0"/>
        <v>5500</v>
      </c>
      <c r="L22" s="39">
        <f t="shared" si="1"/>
        <v>1</v>
      </c>
      <c r="M22" s="27">
        <v>0</v>
      </c>
      <c r="N22" s="28">
        <f t="shared" si="2"/>
        <v>5500</v>
      </c>
      <c r="O22" s="29">
        <f t="shared" si="3"/>
        <v>5500</v>
      </c>
      <c r="P22" s="29">
        <f t="shared" si="4"/>
        <v>5500</v>
      </c>
      <c r="Q22" s="30" t="e" cm="1">
        <f t="array" aca="1" ref="Q22" ca="1">spellNumber(P22)</f>
        <v>#NAME?</v>
      </c>
      <c r="R22" s="31">
        <f t="shared" si="5"/>
        <v>5700</v>
      </c>
      <c r="S22" s="32">
        <v>13000</v>
      </c>
      <c r="T22" s="32">
        <v>0</v>
      </c>
      <c r="U22" s="32">
        <v>7000</v>
      </c>
      <c r="V22" s="32">
        <v>0</v>
      </c>
      <c r="W22" s="32">
        <v>22000</v>
      </c>
      <c r="X22" s="32">
        <v>5500</v>
      </c>
      <c r="Y22" s="32">
        <v>0</v>
      </c>
      <c r="Z22" s="32">
        <v>11000</v>
      </c>
      <c r="AA22" s="33">
        <v>0</v>
      </c>
      <c r="AB22" s="34">
        <v>0</v>
      </c>
      <c r="AC22" s="35">
        <v>5500</v>
      </c>
      <c r="AD22" s="36"/>
    </row>
    <row r="23" spans="1:30" ht="16.5" customHeight="1" x14ac:dyDescent="0.25">
      <c r="A23" s="19" t="s">
        <v>134</v>
      </c>
      <c r="B23" s="19" t="s">
        <v>135</v>
      </c>
      <c r="C23" s="19" t="s">
        <v>136</v>
      </c>
      <c r="D23" s="19" t="s">
        <v>137</v>
      </c>
      <c r="E23" s="20" t="s">
        <v>34</v>
      </c>
      <c r="F23" s="21">
        <v>5</v>
      </c>
      <c r="G23" s="22" t="s">
        <v>138</v>
      </c>
      <c r="H23" s="23">
        <v>9000</v>
      </c>
      <c r="I23" s="24">
        <v>9000</v>
      </c>
      <c r="J23" s="23">
        <v>9000</v>
      </c>
      <c r="K23" s="43">
        <f t="shared" si="0"/>
        <v>0</v>
      </c>
      <c r="L23" s="44">
        <f t="shared" si="1"/>
        <v>0</v>
      </c>
      <c r="M23" s="27">
        <v>0</v>
      </c>
      <c r="N23" s="28">
        <f t="shared" si="2"/>
        <v>9000</v>
      </c>
      <c r="O23" s="29">
        <f t="shared" si="3"/>
        <v>9000</v>
      </c>
      <c r="P23" s="29">
        <f t="shared" si="4"/>
        <v>9000</v>
      </c>
      <c r="Q23" s="30" t="e" cm="1">
        <f t="array" aca="1" ref="Q23" ca="1">spellNumber(P23)</f>
        <v>#NAME?</v>
      </c>
      <c r="R23" s="31">
        <f t="shared" si="5"/>
        <v>9200</v>
      </c>
      <c r="S23" s="32">
        <v>17000</v>
      </c>
      <c r="T23" s="32">
        <v>9000</v>
      </c>
      <c r="U23" s="32">
        <v>9000</v>
      </c>
      <c r="V23" s="32">
        <v>0</v>
      </c>
      <c r="W23" s="32">
        <v>0</v>
      </c>
      <c r="X23" s="32">
        <v>18000</v>
      </c>
      <c r="Y23" s="32">
        <v>18000</v>
      </c>
      <c r="Z23" s="32">
        <v>9000</v>
      </c>
      <c r="AA23" s="33">
        <v>9000</v>
      </c>
      <c r="AB23" s="34">
        <v>9000</v>
      </c>
      <c r="AC23" s="35">
        <v>9000</v>
      </c>
      <c r="AD23" s="36"/>
    </row>
    <row r="24" spans="1:30" ht="16.5" customHeight="1" x14ac:dyDescent="0.25">
      <c r="A24" s="19" t="s">
        <v>139</v>
      </c>
      <c r="B24" s="19" t="s">
        <v>140</v>
      </c>
      <c r="C24" s="19" t="s">
        <v>141</v>
      </c>
      <c r="D24" s="19" t="s">
        <v>83</v>
      </c>
      <c r="E24" s="20" t="s">
        <v>34</v>
      </c>
      <c r="F24" s="21">
        <v>1</v>
      </c>
      <c r="G24" s="22" t="s">
        <v>142</v>
      </c>
      <c r="H24" s="23">
        <v>2000</v>
      </c>
      <c r="I24" s="24">
        <v>2000</v>
      </c>
      <c r="J24" s="23">
        <v>0</v>
      </c>
      <c r="K24" s="25">
        <f t="shared" si="0"/>
        <v>2000</v>
      </c>
      <c r="L24" s="39">
        <f t="shared" si="1"/>
        <v>1</v>
      </c>
      <c r="M24" s="27">
        <v>0</v>
      </c>
      <c r="N24" s="28">
        <f t="shared" si="2"/>
        <v>2000</v>
      </c>
      <c r="O24" s="29">
        <f t="shared" si="3"/>
        <v>2000</v>
      </c>
      <c r="P24" s="29">
        <f t="shared" si="4"/>
        <v>2000</v>
      </c>
      <c r="Q24" s="30" t="e" cm="1">
        <f t="array" aca="1" ref="Q24" ca="1">spellNumber(P24)</f>
        <v>#NAME?</v>
      </c>
      <c r="R24" s="31">
        <f t="shared" si="5"/>
        <v>2200</v>
      </c>
      <c r="S24" s="32">
        <v>0</v>
      </c>
      <c r="T24" s="32">
        <v>0</v>
      </c>
      <c r="U24" s="32">
        <v>0</v>
      </c>
      <c r="V24" s="32">
        <v>6000</v>
      </c>
      <c r="W24" s="32">
        <v>2000</v>
      </c>
      <c r="X24" s="32">
        <v>4000</v>
      </c>
      <c r="Y24" s="32">
        <v>0</v>
      </c>
      <c r="Z24" s="32">
        <v>4000</v>
      </c>
      <c r="AA24" s="33">
        <v>0</v>
      </c>
      <c r="AB24" s="34">
        <v>4000</v>
      </c>
      <c r="AC24" s="35">
        <v>2000</v>
      </c>
      <c r="AD24" s="36"/>
    </row>
    <row r="25" spans="1:30" ht="16.5" customHeight="1" x14ac:dyDescent="0.25">
      <c r="A25" s="19" t="s">
        <v>143</v>
      </c>
      <c r="B25" s="19" t="s">
        <v>144</v>
      </c>
      <c r="C25" s="19" t="s">
        <v>145</v>
      </c>
      <c r="D25" s="19" t="s">
        <v>146</v>
      </c>
      <c r="E25" s="20" t="s">
        <v>40</v>
      </c>
      <c r="F25" s="21">
        <v>2</v>
      </c>
      <c r="G25" s="22" t="s">
        <v>147</v>
      </c>
      <c r="H25" s="23">
        <v>5000</v>
      </c>
      <c r="I25" s="24">
        <v>5500</v>
      </c>
      <c r="J25" s="23">
        <v>3000</v>
      </c>
      <c r="K25" s="40">
        <f t="shared" si="0"/>
        <v>2500</v>
      </c>
      <c r="L25" s="41">
        <f t="shared" si="1"/>
        <v>0.5</v>
      </c>
      <c r="M25" s="27">
        <v>0</v>
      </c>
      <c r="N25" s="28">
        <f t="shared" si="2"/>
        <v>5500</v>
      </c>
      <c r="O25" s="29">
        <f t="shared" si="3"/>
        <v>5500</v>
      </c>
      <c r="P25" s="29">
        <f t="shared" si="4"/>
        <v>5500</v>
      </c>
      <c r="Q25" s="30" t="e" cm="1">
        <f t="array" aca="1" ref="Q25" ca="1">spellNumber(P25)</f>
        <v>#NAME?</v>
      </c>
      <c r="R25" s="31">
        <f t="shared" si="5"/>
        <v>5700</v>
      </c>
      <c r="S25" s="32">
        <v>2000</v>
      </c>
      <c r="T25" s="32">
        <v>6000</v>
      </c>
      <c r="U25" s="32">
        <v>6000</v>
      </c>
      <c r="V25" s="32">
        <v>0</v>
      </c>
      <c r="W25" s="32">
        <v>6000</v>
      </c>
      <c r="X25" s="32">
        <v>6000</v>
      </c>
      <c r="Y25" s="32">
        <v>5500</v>
      </c>
      <c r="Z25" s="32">
        <v>5500</v>
      </c>
      <c r="AA25" s="33">
        <v>5500</v>
      </c>
      <c r="AB25" s="34">
        <v>5500</v>
      </c>
      <c r="AC25" s="35">
        <v>5500</v>
      </c>
      <c r="AD25" s="36"/>
    </row>
    <row r="26" spans="1:30" ht="16.5" customHeight="1" x14ac:dyDescent="0.25">
      <c r="A26" s="19" t="s">
        <v>148</v>
      </c>
      <c r="B26" s="19" t="s">
        <v>149</v>
      </c>
      <c r="C26" s="19" t="s">
        <v>150</v>
      </c>
      <c r="D26" s="19" t="s">
        <v>151</v>
      </c>
      <c r="E26" s="20"/>
      <c r="F26" s="21">
        <v>1</v>
      </c>
      <c r="G26" s="22" t="s">
        <v>152</v>
      </c>
      <c r="H26" s="23">
        <v>2000</v>
      </c>
      <c r="I26" s="24">
        <v>2975</v>
      </c>
      <c r="J26" s="23">
        <v>2975</v>
      </c>
      <c r="K26" s="25">
        <f t="shared" si="0"/>
        <v>0</v>
      </c>
      <c r="L26" s="26">
        <f t="shared" si="1"/>
        <v>0</v>
      </c>
      <c r="M26" s="27">
        <v>0</v>
      </c>
      <c r="N26" s="28">
        <f t="shared" si="2"/>
        <v>2975</v>
      </c>
      <c r="O26" s="29">
        <f t="shared" si="3"/>
        <v>2975</v>
      </c>
      <c r="P26" s="29">
        <f t="shared" si="4"/>
        <v>3000</v>
      </c>
      <c r="Q26" s="30" t="e" cm="1">
        <f t="array" aca="1" ref="Q26" ca="1">spellNumber(P26)</f>
        <v>#NAME?</v>
      </c>
      <c r="R26" s="31">
        <f t="shared" si="5"/>
        <v>3200</v>
      </c>
      <c r="S26" s="32">
        <v>2000</v>
      </c>
      <c r="T26" s="32">
        <v>3000</v>
      </c>
      <c r="U26" s="32">
        <v>3000</v>
      </c>
      <c r="V26" s="32">
        <v>2000</v>
      </c>
      <c r="W26" s="32">
        <v>2000</v>
      </c>
      <c r="X26" s="32">
        <v>2000</v>
      </c>
      <c r="Y26" s="32">
        <v>2000</v>
      </c>
      <c r="Z26" s="32">
        <v>2000</v>
      </c>
      <c r="AA26" s="33">
        <v>2625</v>
      </c>
      <c r="AB26" s="34">
        <v>2000</v>
      </c>
      <c r="AC26" s="35">
        <v>2900</v>
      </c>
      <c r="AD26" s="36"/>
    </row>
    <row r="27" spans="1:30" ht="16.5" customHeight="1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20" t="s">
        <v>34</v>
      </c>
      <c r="F27" s="21">
        <v>4</v>
      </c>
      <c r="G27" s="22" t="s">
        <v>157</v>
      </c>
      <c r="H27" s="23">
        <v>8500</v>
      </c>
      <c r="I27" s="24">
        <v>8500</v>
      </c>
      <c r="J27" s="23">
        <v>8500</v>
      </c>
      <c r="K27" s="37">
        <f t="shared" si="0"/>
        <v>0</v>
      </c>
      <c r="L27" s="38">
        <f t="shared" si="1"/>
        <v>0</v>
      </c>
      <c r="M27" s="27">
        <v>0</v>
      </c>
      <c r="N27" s="28">
        <f t="shared" si="2"/>
        <v>8500</v>
      </c>
      <c r="O27" s="29">
        <f t="shared" si="3"/>
        <v>8500</v>
      </c>
      <c r="P27" s="29">
        <f t="shared" si="4"/>
        <v>8500</v>
      </c>
      <c r="Q27" s="30" t="e" cm="1">
        <f t="array" aca="1" ref="Q27" ca="1">spellNumber(P27)</f>
        <v>#NAME?</v>
      </c>
      <c r="R27" s="31">
        <f t="shared" si="5"/>
        <v>8700</v>
      </c>
      <c r="S27" s="32">
        <v>8000</v>
      </c>
      <c r="T27" s="32">
        <v>12000</v>
      </c>
      <c r="U27" s="32">
        <v>6000</v>
      </c>
      <c r="V27" s="32">
        <v>0</v>
      </c>
      <c r="W27" s="32">
        <v>20000</v>
      </c>
      <c r="X27" s="32">
        <v>13000</v>
      </c>
      <c r="Y27" s="32">
        <v>9500</v>
      </c>
      <c r="Z27" s="32">
        <v>8500</v>
      </c>
      <c r="AA27" s="33">
        <v>8500</v>
      </c>
      <c r="AB27" s="34">
        <v>8500</v>
      </c>
      <c r="AC27" s="35">
        <v>8500</v>
      </c>
      <c r="AD27" s="36"/>
    </row>
    <row r="28" spans="1:30" ht="16.5" customHeight="1" x14ac:dyDescent="0.25">
      <c r="A28" s="19" t="s">
        <v>158</v>
      </c>
      <c r="B28" s="19" t="s">
        <v>159</v>
      </c>
      <c r="C28" s="19" t="s">
        <v>160</v>
      </c>
      <c r="D28" s="19" t="s">
        <v>83</v>
      </c>
      <c r="E28" s="20" t="s">
        <v>40</v>
      </c>
      <c r="F28" s="21">
        <v>1</v>
      </c>
      <c r="G28" s="22" t="s">
        <v>161</v>
      </c>
      <c r="H28" s="23">
        <v>3000</v>
      </c>
      <c r="I28" s="24">
        <v>3000</v>
      </c>
      <c r="J28" s="23">
        <v>0</v>
      </c>
      <c r="K28" s="25">
        <f t="shared" si="0"/>
        <v>3000</v>
      </c>
      <c r="L28" s="39">
        <f t="shared" si="1"/>
        <v>1</v>
      </c>
      <c r="M28" s="27">
        <v>0</v>
      </c>
      <c r="N28" s="28">
        <f t="shared" si="2"/>
        <v>3000</v>
      </c>
      <c r="O28" s="29">
        <f t="shared" si="3"/>
        <v>3000</v>
      </c>
      <c r="P28" s="29">
        <f t="shared" si="4"/>
        <v>3000</v>
      </c>
      <c r="Q28" s="30" t="e" cm="1">
        <f t="array" aca="1" ref="Q28" ca="1">spellNumber(P28)</f>
        <v>#NAME?</v>
      </c>
      <c r="R28" s="31">
        <f t="shared" si="5"/>
        <v>3200</v>
      </c>
      <c r="S28" s="32">
        <v>2500</v>
      </c>
      <c r="T28" s="32">
        <v>7000</v>
      </c>
      <c r="U28" s="32">
        <v>0</v>
      </c>
      <c r="V28" s="32">
        <v>0</v>
      </c>
      <c r="W28" s="32">
        <v>5000</v>
      </c>
      <c r="X28" s="32">
        <v>5000</v>
      </c>
      <c r="Y28" s="32">
        <v>5000</v>
      </c>
      <c r="Z28" s="32">
        <v>0</v>
      </c>
      <c r="AA28" s="33">
        <v>9000</v>
      </c>
      <c r="AB28" s="34">
        <v>0</v>
      </c>
      <c r="AC28" s="35">
        <v>0</v>
      </c>
      <c r="AD28" s="36"/>
    </row>
    <row r="29" spans="1:30" ht="16.5" customHeight="1" x14ac:dyDescent="0.25">
      <c r="A29" s="19" t="s">
        <v>162</v>
      </c>
      <c r="B29" s="19" t="s">
        <v>163</v>
      </c>
      <c r="C29" s="19" t="s">
        <v>164</v>
      </c>
      <c r="D29" s="19" t="s">
        <v>83</v>
      </c>
      <c r="E29" s="20" t="s">
        <v>34</v>
      </c>
      <c r="F29" s="21">
        <v>1</v>
      </c>
      <c r="G29" s="22" t="s">
        <v>165</v>
      </c>
      <c r="H29" s="23">
        <v>3300</v>
      </c>
      <c r="I29" s="24">
        <v>3300</v>
      </c>
      <c r="J29" s="23">
        <v>0</v>
      </c>
      <c r="K29" s="25">
        <f t="shared" si="0"/>
        <v>3300</v>
      </c>
      <c r="L29" s="39">
        <f t="shared" si="1"/>
        <v>1</v>
      </c>
      <c r="M29" s="27">
        <v>0</v>
      </c>
      <c r="N29" s="28">
        <f t="shared" si="2"/>
        <v>3300</v>
      </c>
      <c r="O29" s="29">
        <f t="shared" si="3"/>
        <v>3300</v>
      </c>
      <c r="P29" s="29">
        <f t="shared" si="4"/>
        <v>3300</v>
      </c>
      <c r="Q29" s="30" t="e" cm="1">
        <f t="array" aca="1" ref="Q29" ca="1">spellNumber(P29)</f>
        <v>#NAME?</v>
      </c>
      <c r="R29" s="31">
        <f t="shared" si="5"/>
        <v>3500</v>
      </c>
      <c r="S29" s="32">
        <v>3000</v>
      </c>
      <c r="T29" s="32">
        <v>11000</v>
      </c>
      <c r="U29" s="32">
        <v>4100</v>
      </c>
      <c r="V29" s="32">
        <v>3300</v>
      </c>
      <c r="W29" s="32">
        <v>0</v>
      </c>
      <c r="X29" s="32">
        <v>6000</v>
      </c>
      <c r="Y29" s="32">
        <v>3900</v>
      </c>
      <c r="Z29" s="32">
        <v>3300</v>
      </c>
      <c r="AA29" s="33">
        <v>3300</v>
      </c>
      <c r="AB29" s="34">
        <v>3300</v>
      </c>
      <c r="AC29" s="35">
        <v>3300</v>
      </c>
      <c r="AD29" s="36"/>
    </row>
    <row r="30" spans="1:30" ht="16.5" customHeight="1" x14ac:dyDescent="0.25">
      <c r="A30" s="19" t="s">
        <v>166</v>
      </c>
      <c r="B30" s="19" t="s">
        <v>167</v>
      </c>
      <c r="C30" s="19" t="s">
        <v>168</v>
      </c>
      <c r="D30" s="19" t="s">
        <v>83</v>
      </c>
      <c r="E30" s="20" t="s">
        <v>34</v>
      </c>
      <c r="F30" s="21">
        <v>1</v>
      </c>
      <c r="G30" s="22" t="s">
        <v>169</v>
      </c>
      <c r="H30" s="23">
        <v>2500</v>
      </c>
      <c r="I30" s="24">
        <v>0</v>
      </c>
      <c r="J30" s="23">
        <v>0</v>
      </c>
      <c r="K30" s="43">
        <f t="shared" si="0"/>
        <v>0</v>
      </c>
      <c r="L30" s="44">
        <f t="shared" si="1"/>
        <v>0</v>
      </c>
      <c r="M30" s="27">
        <v>0</v>
      </c>
      <c r="N30" s="28">
        <f t="shared" si="2"/>
        <v>0</v>
      </c>
      <c r="O30" s="29">
        <f t="shared" si="3"/>
        <v>0</v>
      </c>
      <c r="P30" s="29">
        <f t="shared" si="4"/>
        <v>0</v>
      </c>
      <c r="Q30" s="30" t="e" cm="1">
        <f t="array" aca="1" ref="Q30" ca="1">spellNumber(P30)</f>
        <v>#NAME?</v>
      </c>
      <c r="R30" s="31">
        <f t="shared" si="5"/>
        <v>200</v>
      </c>
      <c r="S30" s="32">
        <v>5500</v>
      </c>
      <c r="T30" s="32">
        <v>2500</v>
      </c>
      <c r="U30" s="32">
        <v>0</v>
      </c>
      <c r="V30" s="32">
        <v>0</v>
      </c>
      <c r="W30" s="32">
        <v>0</v>
      </c>
      <c r="X30" s="32">
        <v>25000</v>
      </c>
      <c r="Y30" s="32">
        <v>0</v>
      </c>
      <c r="Z30" s="32">
        <v>0</v>
      </c>
      <c r="AA30" s="33">
        <v>0</v>
      </c>
      <c r="AB30" s="34">
        <v>0</v>
      </c>
      <c r="AC30" s="35">
        <v>0</v>
      </c>
      <c r="AD30" s="36"/>
    </row>
    <row r="31" spans="1:30" ht="16.5" customHeight="1" x14ac:dyDescent="0.25">
      <c r="A31" s="19" t="s">
        <v>170</v>
      </c>
      <c r="B31" s="19" t="s">
        <v>171</v>
      </c>
      <c r="C31" s="19" t="s">
        <v>172</v>
      </c>
      <c r="D31" s="19" t="s">
        <v>83</v>
      </c>
      <c r="E31" s="20" t="s">
        <v>34</v>
      </c>
      <c r="F31" s="21">
        <v>1</v>
      </c>
      <c r="G31" s="22" t="s">
        <v>173</v>
      </c>
      <c r="H31" s="23">
        <v>3000</v>
      </c>
      <c r="I31" s="24">
        <v>4800</v>
      </c>
      <c r="J31" s="23">
        <v>4800</v>
      </c>
      <c r="K31" s="25">
        <f t="shared" si="0"/>
        <v>0</v>
      </c>
      <c r="L31" s="39">
        <f t="shared" si="1"/>
        <v>0</v>
      </c>
      <c r="M31" s="27">
        <v>0</v>
      </c>
      <c r="N31" s="28">
        <f t="shared" si="2"/>
        <v>4800</v>
      </c>
      <c r="O31" s="29">
        <f t="shared" si="3"/>
        <v>4800</v>
      </c>
      <c r="P31" s="29">
        <f t="shared" si="4"/>
        <v>4800</v>
      </c>
      <c r="Q31" s="30" t="e" cm="1">
        <f t="array" aca="1" ref="Q31" ca="1">spellNumber(P31)</f>
        <v>#NAME?</v>
      </c>
      <c r="R31" s="31">
        <f t="shared" si="5"/>
        <v>5000</v>
      </c>
      <c r="S31" s="32">
        <v>0</v>
      </c>
      <c r="T31" s="32">
        <v>8000</v>
      </c>
      <c r="U31" s="32">
        <v>0</v>
      </c>
      <c r="V31" s="32">
        <v>4000</v>
      </c>
      <c r="W31" s="32">
        <v>3000</v>
      </c>
      <c r="X31" s="32">
        <v>3000</v>
      </c>
      <c r="Y31" s="32">
        <v>3500</v>
      </c>
      <c r="Z31" s="32">
        <v>3000</v>
      </c>
      <c r="AA31" s="33">
        <v>0</v>
      </c>
      <c r="AB31" s="34">
        <v>4800</v>
      </c>
      <c r="AC31" s="35">
        <v>4900</v>
      </c>
      <c r="AD31" s="36"/>
    </row>
    <row r="32" spans="1:30" ht="16.5" customHeight="1" x14ac:dyDescent="0.25">
      <c r="A32" s="19" t="s">
        <v>174</v>
      </c>
      <c r="B32" s="19" t="s">
        <v>175</v>
      </c>
      <c r="C32" s="19" t="s">
        <v>176</v>
      </c>
      <c r="D32" s="19" t="s">
        <v>83</v>
      </c>
      <c r="E32" s="20" t="s">
        <v>40</v>
      </c>
      <c r="F32" s="21">
        <v>1</v>
      </c>
      <c r="G32" s="22" t="s">
        <v>177</v>
      </c>
      <c r="H32" s="23">
        <v>2500</v>
      </c>
      <c r="I32" s="24">
        <v>2500</v>
      </c>
      <c r="J32" s="23">
        <v>0</v>
      </c>
      <c r="K32" s="25">
        <f t="shared" si="0"/>
        <v>2500</v>
      </c>
      <c r="L32" s="39">
        <f t="shared" si="1"/>
        <v>1</v>
      </c>
      <c r="M32" s="27">
        <v>0</v>
      </c>
      <c r="N32" s="28">
        <f t="shared" si="2"/>
        <v>2500</v>
      </c>
      <c r="O32" s="29">
        <f t="shared" si="3"/>
        <v>2500</v>
      </c>
      <c r="P32" s="29">
        <f t="shared" si="4"/>
        <v>2500</v>
      </c>
      <c r="Q32" s="30" t="e" cm="1">
        <f t="array" aca="1" ref="Q32" ca="1">spellNumber(P32)</f>
        <v>#NAME?</v>
      </c>
      <c r="R32" s="31">
        <f t="shared" si="5"/>
        <v>2700</v>
      </c>
      <c r="S32" s="32">
        <v>0</v>
      </c>
      <c r="T32" s="32">
        <v>0</v>
      </c>
      <c r="U32" s="32">
        <v>12000</v>
      </c>
      <c r="V32" s="32">
        <v>0</v>
      </c>
      <c r="W32" s="32">
        <v>5000</v>
      </c>
      <c r="X32" s="32">
        <v>3300</v>
      </c>
      <c r="Y32" s="32">
        <v>0</v>
      </c>
      <c r="Z32" s="32">
        <v>5000</v>
      </c>
      <c r="AA32" s="33">
        <v>2500</v>
      </c>
      <c r="AB32" s="34">
        <v>2500</v>
      </c>
      <c r="AC32" s="35">
        <v>2500</v>
      </c>
      <c r="AD32" s="36"/>
    </row>
    <row r="33" spans="1:30" ht="16.5" customHeight="1" x14ac:dyDescent="0.25">
      <c r="A33" s="19" t="s">
        <v>178</v>
      </c>
      <c r="B33" s="19" t="s">
        <v>179</v>
      </c>
      <c r="C33" s="19" t="s">
        <v>180</v>
      </c>
      <c r="D33" s="19" t="s">
        <v>181</v>
      </c>
      <c r="E33" s="20" t="s">
        <v>34</v>
      </c>
      <c r="F33" s="21">
        <v>2</v>
      </c>
      <c r="G33" s="22" t="s">
        <v>182</v>
      </c>
      <c r="H33" s="23">
        <v>4000</v>
      </c>
      <c r="I33" s="24">
        <v>4540</v>
      </c>
      <c r="J33" s="23">
        <v>4500</v>
      </c>
      <c r="K33" s="25">
        <f t="shared" si="0"/>
        <v>40</v>
      </c>
      <c r="L33" s="39">
        <f t="shared" si="1"/>
        <v>0.01</v>
      </c>
      <c r="M33" s="27">
        <v>0</v>
      </c>
      <c r="N33" s="28">
        <f t="shared" si="2"/>
        <v>4540</v>
      </c>
      <c r="O33" s="29">
        <f t="shared" si="3"/>
        <v>4540</v>
      </c>
      <c r="P33" s="29">
        <f t="shared" si="4"/>
        <v>4500</v>
      </c>
      <c r="Q33" s="30" t="e" cm="1">
        <f t="array" aca="1" ref="Q33" ca="1">spellNumber(P33)</f>
        <v>#NAME?</v>
      </c>
      <c r="R33" s="31">
        <f t="shared" si="5"/>
        <v>4700</v>
      </c>
      <c r="S33" s="32">
        <v>7000</v>
      </c>
      <c r="T33" s="32">
        <v>4000</v>
      </c>
      <c r="U33" s="32">
        <v>5000</v>
      </c>
      <c r="V33" s="32">
        <v>7000</v>
      </c>
      <c r="W33" s="32">
        <v>5000</v>
      </c>
      <c r="X33" s="32">
        <v>0</v>
      </c>
      <c r="Y33" s="32">
        <v>7000</v>
      </c>
      <c r="Z33" s="32">
        <v>4560</v>
      </c>
      <c r="AA33" s="33">
        <v>4500</v>
      </c>
      <c r="AB33" s="34">
        <v>4600</v>
      </c>
      <c r="AC33" s="35">
        <v>4600</v>
      </c>
      <c r="AD33" s="36"/>
    </row>
    <row r="34" spans="1:30" ht="16.5" customHeight="1" x14ac:dyDescent="0.25">
      <c r="A34" s="19" t="s">
        <v>183</v>
      </c>
      <c r="B34" s="19" t="s">
        <v>184</v>
      </c>
      <c r="C34" s="19" t="s">
        <v>185</v>
      </c>
      <c r="D34" s="19" t="s">
        <v>83</v>
      </c>
      <c r="E34" s="20" t="s">
        <v>40</v>
      </c>
      <c r="F34" s="21">
        <v>1</v>
      </c>
      <c r="G34" s="22" t="s">
        <v>186</v>
      </c>
      <c r="H34" s="23">
        <v>0</v>
      </c>
      <c r="I34" s="24">
        <v>0</v>
      </c>
      <c r="J34" s="23">
        <v>0</v>
      </c>
      <c r="K34" s="40">
        <f t="shared" si="0"/>
        <v>0</v>
      </c>
      <c r="L34" s="41" t="e">
        <f t="shared" si="1"/>
        <v>#DIV/0!</v>
      </c>
      <c r="M34" s="27">
        <v>0</v>
      </c>
      <c r="N34" s="28">
        <f t="shared" si="2"/>
        <v>0</v>
      </c>
      <c r="O34" s="29">
        <f t="shared" si="3"/>
        <v>0</v>
      </c>
      <c r="P34" s="29">
        <f t="shared" si="4"/>
        <v>0</v>
      </c>
      <c r="Q34" s="30" t="e" cm="1">
        <f t="array" aca="1" ref="Q34" ca="1">spellNumber(P34)</f>
        <v>#NAME?</v>
      </c>
      <c r="R34" s="31">
        <f t="shared" si="5"/>
        <v>200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3">
        <v>0</v>
      </c>
      <c r="AB34" s="34">
        <v>0</v>
      </c>
      <c r="AC34" s="35">
        <v>0</v>
      </c>
      <c r="AD34" s="36"/>
    </row>
    <row r="35" spans="1:30" ht="16.5" customHeight="1" x14ac:dyDescent="0.25">
      <c r="A35" s="19" t="s">
        <v>187</v>
      </c>
      <c r="B35" s="19" t="s">
        <v>188</v>
      </c>
      <c r="C35" s="19" t="s">
        <v>189</v>
      </c>
      <c r="D35" s="19" t="s">
        <v>83</v>
      </c>
      <c r="E35" s="20" t="s">
        <v>40</v>
      </c>
      <c r="F35" s="21">
        <v>1</v>
      </c>
      <c r="G35" s="22" t="s">
        <v>190</v>
      </c>
      <c r="H35" s="23">
        <v>0</v>
      </c>
      <c r="I35" s="24">
        <v>0</v>
      </c>
      <c r="J35" s="23">
        <v>0</v>
      </c>
      <c r="K35" s="25">
        <f t="shared" si="0"/>
        <v>0</v>
      </c>
      <c r="L35" s="26" t="e">
        <f t="shared" si="1"/>
        <v>#DIV/0!</v>
      </c>
      <c r="M35" s="27">
        <v>0</v>
      </c>
      <c r="N35" s="28">
        <f t="shared" si="2"/>
        <v>0</v>
      </c>
      <c r="O35" s="29">
        <f t="shared" si="3"/>
        <v>0</v>
      </c>
      <c r="P35" s="29">
        <f t="shared" si="4"/>
        <v>0</v>
      </c>
      <c r="Q35" s="30" t="e" cm="1">
        <f t="array" aca="1" ref="Q35" ca="1">spellNumber(P35)</f>
        <v>#NAME?</v>
      </c>
      <c r="R35" s="31">
        <f t="shared" si="5"/>
        <v>200</v>
      </c>
      <c r="S35" s="32">
        <v>0</v>
      </c>
      <c r="T35" s="32">
        <v>5000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3">
        <v>0</v>
      </c>
      <c r="AB35" s="34">
        <v>0</v>
      </c>
      <c r="AC35" s="35">
        <v>0</v>
      </c>
      <c r="AD35" s="36"/>
    </row>
    <row r="36" spans="1:30" ht="16.5" customHeight="1" x14ac:dyDescent="0.25">
      <c r="A36" s="19" t="s">
        <v>191</v>
      </c>
      <c r="B36" s="19" t="s">
        <v>192</v>
      </c>
      <c r="C36" s="19" t="s">
        <v>193</v>
      </c>
      <c r="D36" s="19" t="s">
        <v>83</v>
      </c>
      <c r="E36" s="20" t="s">
        <v>34</v>
      </c>
      <c r="F36" s="21">
        <v>1</v>
      </c>
      <c r="G36" s="22" t="s">
        <v>194</v>
      </c>
      <c r="H36" s="23">
        <v>3000</v>
      </c>
      <c r="I36" s="24">
        <v>0</v>
      </c>
      <c r="J36" s="23">
        <v>0</v>
      </c>
      <c r="K36" s="37">
        <f t="shared" si="0"/>
        <v>0</v>
      </c>
      <c r="L36" s="38">
        <f t="shared" si="1"/>
        <v>0</v>
      </c>
      <c r="M36" s="27">
        <v>0</v>
      </c>
      <c r="N36" s="28">
        <f t="shared" si="2"/>
        <v>0</v>
      </c>
      <c r="O36" s="29">
        <f t="shared" si="3"/>
        <v>0</v>
      </c>
      <c r="P36" s="29">
        <f t="shared" si="4"/>
        <v>0</v>
      </c>
      <c r="Q36" s="30" t="e" cm="1">
        <f t="array" aca="1" ref="Q36" ca="1">spellNumber(P36)</f>
        <v>#NAME?</v>
      </c>
      <c r="R36" s="31">
        <f t="shared" si="5"/>
        <v>200</v>
      </c>
      <c r="S36" s="32">
        <v>5000</v>
      </c>
      <c r="T36" s="32">
        <v>0</v>
      </c>
      <c r="U36" s="32">
        <v>10000</v>
      </c>
      <c r="V36" s="32">
        <v>0</v>
      </c>
      <c r="W36" s="32">
        <v>5000</v>
      </c>
      <c r="X36" s="32">
        <v>0</v>
      </c>
      <c r="Y36" s="32">
        <v>9000</v>
      </c>
      <c r="Z36" s="32">
        <v>3000</v>
      </c>
      <c r="AA36" s="33">
        <v>3000</v>
      </c>
      <c r="AB36" s="34">
        <v>3000</v>
      </c>
      <c r="AC36" s="35">
        <v>6000</v>
      </c>
      <c r="AD36" s="36"/>
    </row>
    <row r="37" spans="1:30" ht="16.5" customHeight="1" x14ac:dyDescent="0.25">
      <c r="A37" s="19" t="s">
        <v>195</v>
      </c>
      <c r="B37" s="19" t="s">
        <v>196</v>
      </c>
      <c r="C37" s="19" t="s">
        <v>197</v>
      </c>
      <c r="D37" s="19" t="s">
        <v>83</v>
      </c>
      <c r="E37" s="20" t="s">
        <v>40</v>
      </c>
      <c r="F37" s="21">
        <v>1</v>
      </c>
      <c r="G37" s="22" t="s">
        <v>198</v>
      </c>
      <c r="H37" s="23">
        <v>3000</v>
      </c>
      <c r="I37" s="24">
        <v>6000</v>
      </c>
      <c r="J37" s="23">
        <v>0</v>
      </c>
      <c r="K37" s="25">
        <f t="shared" si="0"/>
        <v>6000</v>
      </c>
      <c r="L37" s="39">
        <f t="shared" si="1"/>
        <v>2</v>
      </c>
      <c r="M37" s="27">
        <v>0</v>
      </c>
      <c r="N37" s="28">
        <f t="shared" si="2"/>
        <v>6000</v>
      </c>
      <c r="O37" s="29">
        <f t="shared" si="3"/>
        <v>6000</v>
      </c>
      <c r="P37" s="29">
        <f t="shared" si="4"/>
        <v>6000</v>
      </c>
      <c r="Q37" s="30" t="e" cm="1">
        <f t="array" aca="1" ref="Q37" ca="1">spellNumber(P37)</f>
        <v>#NAME?</v>
      </c>
      <c r="R37" s="31">
        <f t="shared" si="5"/>
        <v>6200</v>
      </c>
      <c r="S37" s="32">
        <v>0</v>
      </c>
      <c r="T37" s="32">
        <v>6000</v>
      </c>
      <c r="U37" s="32">
        <v>3000</v>
      </c>
      <c r="V37" s="32">
        <v>3000</v>
      </c>
      <c r="W37" s="32">
        <v>3000</v>
      </c>
      <c r="X37" s="32">
        <v>3000</v>
      </c>
      <c r="Y37" s="32">
        <v>3000</v>
      </c>
      <c r="Z37" s="32">
        <v>0</v>
      </c>
      <c r="AA37" s="33">
        <v>3000</v>
      </c>
      <c r="AB37" s="34">
        <v>0</v>
      </c>
      <c r="AC37" s="35">
        <v>6000</v>
      </c>
      <c r="AD37" s="36"/>
    </row>
    <row r="38" spans="1:30" ht="16.5" customHeight="1" x14ac:dyDescent="0.25">
      <c r="A38" s="19" t="s">
        <v>199</v>
      </c>
      <c r="B38" s="19" t="s">
        <v>200</v>
      </c>
      <c r="C38" s="19" t="s">
        <v>201</v>
      </c>
      <c r="D38" s="19" t="s">
        <v>202</v>
      </c>
      <c r="E38" s="20" t="s">
        <v>40</v>
      </c>
      <c r="F38" s="21">
        <v>2</v>
      </c>
      <c r="G38" s="22" t="s">
        <v>203</v>
      </c>
      <c r="H38" s="23">
        <v>2000</v>
      </c>
      <c r="I38" s="24">
        <v>2000</v>
      </c>
      <c r="J38" s="23">
        <v>2000</v>
      </c>
      <c r="K38" s="25">
        <f t="shared" si="0"/>
        <v>0</v>
      </c>
      <c r="L38" s="39">
        <f t="shared" si="1"/>
        <v>0</v>
      </c>
      <c r="M38" s="27">
        <v>0</v>
      </c>
      <c r="N38" s="28">
        <f t="shared" si="2"/>
        <v>2000</v>
      </c>
      <c r="O38" s="29">
        <f t="shared" si="3"/>
        <v>2000</v>
      </c>
      <c r="P38" s="29">
        <f t="shared" si="4"/>
        <v>2000</v>
      </c>
      <c r="Q38" s="30" t="e" cm="1">
        <f t="array" aca="1" ref="Q38" ca="1">spellNumber(P38)</f>
        <v>#NAME?</v>
      </c>
      <c r="R38" s="31">
        <f t="shared" si="5"/>
        <v>2200</v>
      </c>
      <c r="S38" s="32">
        <v>8000</v>
      </c>
      <c r="T38" s="32">
        <v>5000</v>
      </c>
      <c r="U38" s="32">
        <v>5000</v>
      </c>
      <c r="V38" s="32">
        <v>5000</v>
      </c>
      <c r="W38" s="32">
        <v>5000</v>
      </c>
      <c r="X38" s="32">
        <v>5000</v>
      </c>
      <c r="Y38" s="32">
        <v>8000</v>
      </c>
      <c r="Z38" s="32">
        <v>5000</v>
      </c>
      <c r="AA38" s="33">
        <v>0</v>
      </c>
      <c r="AB38" s="34">
        <v>4000</v>
      </c>
      <c r="AC38" s="35">
        <v>0</v>
      </c>
      <c r="AD38" s="36"/>
    </row>
    <row r="39" spans="1:30" ht="16.5" customHeight="1" x14ac:dyDescent="0.25">
      <c r="A39" s="19" t="s">
        <v>204</v>
      </c>
      <c r="B39" s="19" t="s">
        <v>205</v>
      </c>
      <c r="C39" s="19" t="s">
        <v>206</v>
      </c>
      <c r="D39" s="19" t="s">
        <v>207</v>
      </c>
      <c r="E39" s="20" t="s">
        <v>40</v>
      </c>
      <c r="F39" s="21">
        <v>2</v>
      </c>
      <c r="G39" s="22" t="s">
        <v>208</v>
      </c>
      <c r="H39" s="23">
        <v>5000</v>
      </c>
      <c r="I39" s="24">
        <v>7110</v>
      </c>
      <c r="J39" s="23">
        <v>7100</v>
      </c>
      <c r="K39" s="25">
        <f t="shared" si="0"/>
        <v>10</v>
      </c>
      <c r="L39" s="39">
        <f t="shared" si="1"/>
        <v>2E-3</v>
      </c>
      <c r="M39" s="27">
        <v>0</v>
      </c>
      <c r="N39" s="28">
        <f t="shared" si="2"/>
        <v>7110</v>
      </c>
      <c r="O39" s="29">
        <f t="shared" si="3"/>
        <v>7110</v>
      </c>
      <c r="P39" s="29">
        <f t="shared" si="4"/>
        <v>7100</v>
      </c>
      <c r="Q39" s="30" t="e" cm="1">
        <f t="array" aca="1" ref="Q39" ca="1">spellNumber(P39)</f>
        <v>#NAME?</v>
      </c>
      <c r="R39" s="31">
        <f t="shared" si="5"/>
        <v>7300</v>
      </c>
      <c r="S39" s="32">
        <v>0</v>
      </c>
      <c r="T39" s="32">
        <v>10000</v>
      </c>
      <c r="U39" s="32">
        <v>0</v>
      </c>
      <c r="V39" s="32">
        <v>10100</v>
      </c>
      <c r="W39" s="32">
        <v>5000</v>
      </c>
      <c r="X39" s="32">
        <v>5000</v>
      </c>
      <c r="Y39" s="32">
        <v>7150</v>
      </c>
      <c r="Z39" s="32">
        <v>7170</v>
      </c>
      <c r="AA39" s="33">
        <v>7170</v>
      </c>
      <c r="AB39" s="34">
        <v>7200</v>
      </c>
      <c r="AC39" s="35">
        <v>7200</v>
      </c>
      <c r="AD39" s="36"/>
    </row>
    <row r="40" spans="1:30" ht="16.5" customHeight="1" x14ac:dyDescent="0.25">
      <c r="A40" s="19" t="s">
        <v>209</v>
      </c>
      <c r="B40" s="19" t="s">
        <v>210</v>
      </c>
      <c r="C40" s="19" t="s">
        <v>211</v>
      </c>
      <c r="D40" s="19" t="s">
        <v>207</v>
      </c>
      <c r="E40" s="20" t="s">
        <v>34</v>
      </c>
      <c r="F40" s="21">
        <v>2</v>
      </c>
      <c r="G40" s="22" t="s">
        <v>212</v>
      </c>
      <c r="H40" s="23">
        <v>4500</v>
      </c>
      <c r="I40" s="24">
        <v>20500</v>
      </c>
      <c r="J40" s="23">
        <v>15500</v>
      </c>
      <c r="K40" s="25">
        <f t="shared" si="0"/>
        <v>5000</v>
      </c>
      <c r="L40" s="39">
        <f t="shared" si="1"/>
        <v>1.1111111111111112</v>
      </c>
      <c r="M40" s="27">
        <v>0</v>
      </c>
      <c r="N40" s="28">
        <f t="shared" si="2"/>
        <v>20500</v>
      </c>
      <c r="O40" s="29">
        <f t="shared" si="3"/>
        <v>20500</v>
      </c>
      <c r="P40" s="29">
        <f t="shared" si="4"/>
        <v>20500</v>
      </c>
      <c r="Q40" s="30" t="e" cm="1">
        <f t="array" aca="1" ref="Q40" ca="1">spellNumber(P40)</f>
        <v>#NAME?</v>
      </c>
      <c r="R40" s="31">
        <f t="shared" si="5"/>
        <v>20700</v>
      </c>
      <c r="S40" s="32">
        <v>5000</v>
      </c>
      <c r="T40" s="32">
        <v>15000</v>
      </c>
      <c r="U40" s="32">
        <v>0</v>
      </c>
      <c r="V40" s="32">
        <v>10000</v>
      </c>
      <c r="W40" s="32">
        <v>0</v>
      </c>
      <c r="X40" s="32">
        <v>0</v>
      </c>
      <c r="Y40" s="32">
        <v>8500</v>
      </c>
      <c r="Z40" s="32">
        <v>10000</v>
      </c>
      <c r="AA40" s="33">
        <v>0</v>
      </c>
      <c r="AB40" s="34">
        <v>7000</v>
      </c>
      <c r="AC40" s="35">
        <v>5000</v>
      </c>
      <c r="AD40" s="36"/>
    </row>
    <row r="41" spans="1:30" ht="16.5" customHeight="1" x14ac:dyDescent="0.25">
      <c r="A41" s="19" t="s">
        <v>213</v>
      </c>
      <c r="B41" s="19" t="s">
        <v>214</v>
      </c>
      <c r="C41" s="19" t="s">
        <v>215</v>
      </c>
      <c r="D41" s="19" t="s">
        <v>216</v>
      </c>
      <c r="E41" s="20" t="s">
        <v>40</v>
      </c>
      <c r="F41" s="21">
        <v>1</v>
      </c>
      <c r="G41" s="22" t="s">
        <v>217</v>
      </c>
      <c r="H41" s="23">
        <v>1800</v>
      </c>
      <c r="I41" s="24">
        <v>35600</v>
      </c>
      <c r="J41" s="23">
        <v>0</v>
      </c>
      <c r="K41" s="40">
        <f t="shared" si="0"/>
        <v>35600</v>
      </c>
      <c r="L41" s="41">
        <f t="shared" si="1"/>
        <v>19.777777777777779</v>
      </c>
      <c r="M41" s="27">
        <v>0</v>
      </c>
      <c r="N41" s="28">
        <f t="shared" si="2"/>
        <v>35600</v>
      </c>
      <c r="O41" s="29">
        <f t="shared" si="3"/>
        <v>35600</v>
      </c>
      <c r="P41" s="29">
        <f t="shared" si="4"/>
        <v>35600</v>
      </c>
      <c r="Q41" s="30" t="e" cm="1">
        <f t="array" aca="1" ref="Q41" ca="1">spellNumber(P41)</f>
        <v>#NAME?</v>
      </c>
      <c r="R41" s="31">
        <f t="shared" si="5"/>
        <v>35800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3">
        <v>0</v>
      </c>
      <c r="AB41" s="34">
        <v>0</v>
      </c>
      <c r="AC41" s="35">
        <v>0</v>
      </c>
      <c r="AD41" s="36"/>
    </row>
    <row r="42" spans="1:30" ht="16.5" customHeight="1" x14ac:dyDescent="0.25">
      <c r="A42" s="19" t="s">
        <v>218</v>
      </c>
      <c r="B42" s="19" t="s">
        <v>219</v>
      </c>
      <c r="C42" s="19" t="s">
        <v>220</v>
      </c>
      <c r="D42" s="19" t="s">
        <v>221</v>
      </c>
      <c r="E42" s="20" t="s">
        <v>34</v>
      </c>
      <c r="F42" s="21">
        <v>3</v>
      </c>
      <c r="G42" s="22" t="s">
        <v>222</v>
      </c>
      <c r="H42" s="23">
        <v>0</v>
      </c>
      <c r="I42" s="24">
        <v>0</v>
      </c>
      <c r="J42" s="23">
        <v>0</v>
      </c>
      <c r="K42" s="37">
        <f t="shared" si="0"/>
        <v>0</v>
      </c>
      <c r="L42" s="38" t="e">
        <f t="shared" si="1"/>
        <v>#DIV/0!</v>
      </c>
      <c r="M42" s="27">
        <v>0</v>
      </c>
      <c r="N42" s="28">
        <f t="shared" si="2"/>
        <v>0</v>
      </c>
      <c r="O42" s="29">
        <f t="shared" si="3"/>
        <v>0</v>
      </c>
      <c r="P42" s="29">
        <f t="shared" si="4"/>
        <v>0</v>
      </c>
      <c r="Q42" s="30" t="e" cm="1">
        <f t="array" aca="1" ref="Q42" ca="1">spellNumber(P42)</f>
        <v>#NAME?</v>
      </c>
      <c r="R42" s="31">
        <f t="shared" si="5"/>
        <v>200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3">
        <v>0</v>
      </c>
      <c r="AB42" s="34">
        <v>0</v>
      </c>
      <c r="AC42" s="35">
        <v>0</v>
      </c>
      <c r="AD42" s="36"/>
    </row>
    <row r="43" spans="1:30" ht="16.5" customHeight="1" x14ac:dyDescent="0.25">
      <c r="A43" s="19" t="s">
        <v>223</v>
      </c>
      <c r="B43" s="19" t="s">
        <v>224</v>
      </c>
      <c r="C43" s="19" t="s">
        <v>225</v>
      </c>
      <c r="D43" s="19" t="s">
        <v>226</v>
      </c>
      <c r="E43" s="20" t="s">
        <v>40</v>
      </c>
      <c r="F43" s="21">
        <v>3</v>
      </c>
      <c r="G43" s="22" t="s">
        <v>227</v>
      </c>
      <c r="H43" s="23">
        <v>4700</v>
      </c>
      <c r="I43" s="24">
        <v>4550</v>
      </c>
      <c r="J43" s="23">
        <v>4550</v>
      </c>
      <c r="K43" s="25">
        <f t="shared" si="0"/>
        <v>0</v>
      </c>
      <c r="L43" s="39">
        <f t="shared" si="1"/>
        <v>0</v>
      </c>
      <c r="M43" s="27">
        <v>0</v>
      </c>
      <c r="N43" s="28">
        <f t="shared" si="2"/>
        <v>4550</v>
      </c>
      <c r="O43" s="29">
        <f t="shared" si="3"/>
        <v>4550</v>
      </c>
      <c r="P43" s="29">
        <f t="shared" si="4"/>
        <v>4600</v>
      </c>
      <c r="Q43" s="30" t="e" cm="1">
        <f t="array" aca="1" ref="Q43" ca="1">spellNumber(P43)</f>
        <v>#NAME?</v>
      </c>
      <c r="R43" s="31">
        <f t="shared" si="5"/>
        <v>4800</v>
      </c>
      <c r="S43" s="32">
        <v>7000</v>
      </c>
      <c r="T43" s="32">
        <v>5000</v>
      </c>
      <c r="U43" s="32">
        <v>5000</v>
      </c>
      <c r="V43" s="32">
        <v>8000</v>
      </c>
      <c r="W43" s="32">
        <v>5000</v>
      </c>
      <c r="X43" s="32">
        <v>5000</v>
      </c>
      <c r="Y43" s="32">
        <v>5000</v>
      </c>
      <c r="Z43" s="32">
        <v>5000</v>
      </c>
      <c r="AA43" s="33">
        <v>4850</v>
      </c>
      <c r="AB43" s="34">
        <v>5000</v>
      </c>
      <c r="AC43" s="35">
        <v>5000</v>
      </c>
      <c r="AD43" s="36"/>
    </row>
    <row r="44" spans="1:30" ht="16.5" customHeight="1" x14ac:dyDescent="0.25">
      <c r="A44" s="19" t="s">
        <v>228</v>
      </c>
      <c r="B44" s="19" t="s">
        <v>229</v>
      </c>
      <c r="C44" s="19" t="s">
        <v>215</v>
      </c>
      <c r="D44" s="19" t="s">
        <v>230</v>
      </c>
      <c r="E44" s="20" t="s">
        <v>40</v>
      </c>
      <c r="F44" s="21">
        <v>3</v>
      </c>
      <c r="G44" s="22" t="s">
        <v>231</v>
      </c>
      <c r="H44" s="23">
        <v>8000</v>
      </c>
      <c r="I44" s="24">
        <v>8000</v>
      </c>
      <c r="J44" s="23">
        <v>8000</v>
      </c>
      <c r="K44" s="25">
        <f t="shared" si="0"/>
        <v>0</v>
      </c>
      <c r="L44" s="39">
        <f t="shared" si="1"/>
        <v>0</v>
      </c>
      <c r="M44" s="27">
        <v>0</v>
      </c>
      <c r="N44" s="28">
        <f t="shared" si="2"/>
        <v>8000</v>
      </c>
      <c r="O44" s="29">
        <f t="shared" si="3"/>
        <v>8000</v>
      </c>
      <c r="P44" s="29">
        <f t="shared" si="4"/>
        <v>8000</v>
      </c>
      <c r="Q44" s="30" t="e" cm="1">
        <f t="array" aca="1" ref="Q44" ca="1">spellNumber(P44)</f>
        <v>#NAME?</v>
      </c>
      <c r="R44" s="31">
        <f t="shared" si="5"/>
        <v>8200</v>
      </c>
      <c r="S44" s="32">
        <v>7000</v>
      </c>
      <c r="T44" s="32">
        <v>18000</v>
      </c>
      <c r="U44" s="32">
        <v>6000</v>
      </c>
      <c r="V44" s="32">
        <v>8000</v>
      </c>
      <c r="W44" s="32">
        <v>0</v>
      </c>
      <c r="X44" s="32">
        <v>16000</v>
      </c>
      <c r="Y44" s="32">
        <v>8000</v>
      </c>
      <c r="Z44" s="32">
        <v>8000</v>
      </c>
      <c r="AA44" s="33">
        <v>8000</v>
      </c>
      <c r="AB44" s="34">
        <v>8000</v>
      </c>
      <c r="AC44" s="35">
        <v>8000</v>
      </c>
      <c r="AD44" s="36"/>
    </row>
    <row r="45" spans="1:30" ht="16.5" customHeight="1" x14ac:dyDescent="0.25">
      <c r="A45" s="19" t="s">
        <v>232</v>
      </c>
      <c r="B45" s="19" t="s">
        <v>233</v>
      </c>
      <c r="C45" s="19" t="s">
        <v>234</v>
      </c>
      <c r="D45" s="19" t="s">
        <v>235</v>
      </c>
      <c r="E45" s="20" t="s">
        <v>34</v>
      </c>
      <c r="F45" s="21">
        <v>3</v>
      </c>
      <c r="G45" s="22" t="s">
        <v>236</v>
      </c>
      <c r="H45" s="23">
        <v>7500</v>
      </c>
      <c r="I45" s="24">
        <v>7500</v>
      </c>
      <c r="J45" s="23">
        <v>7500</v>
      </c>
      <c r="K45" s="25">
        <f t="shared" si="0"/>
        <v>0</v>
      </c>
      <c r="L45" s="39">
        <f t="shared" si="1"/>
        <v>0</v>
      </c>
      <c r="M45" s="27">
        <v>0</v>
      </c>
      <c r="N45" s="28">
        <f t="shared" si="2"/>
        <v>7500</v>
      </c>
      <c r="O45" s="29">
        <f t="shared" si="3"/>
        <v>7500</v>
      </c>
      <c r="P45" s="29">
        <f t="shared" si="4"/>
        <v>7500</v>
      </c>
      <c r="Q45" s="30" t="e" cm="1">
        <f t="array" aca="1" ref="Q45" ca="1">spellNumber(P45)</f>
        <v>#NAME?</v>
      </c>
      <c r="R45" s="31">
        <f t="shared" si="5"/>
        <v>7700</v>
      </c>
      <c r="S45" s="32">
        <v>21500</v>
      </c>
      <c r="T45" s="32">
        <v>7500</v>
      </c>
      <c r="U45" s="32">
        <v>7500</v>
      </c>
      <c r="V45" s="32">
        <v>0</v>
      </c>
      <c r="W45" s="32">
        <v>0</v>
      </c>
      <c r="X45" s="32">
        <v>15000</v>
      </c>
      <c r="Y45" s="32">
        <v>15000</v>
      </c>
      <c r="Z45" s="32">
        <v>7500</v>
      </c>
      <c r="AA45" s="33">
        <v>7500</v>
      </c>
      <c r="AB45" s="34">
        <v>7500</v>
      </c>
      <c r="AC45" s="35">
        <v>7500</v>
      </c>
      <c r="AD45" s="36"/>
    </row>
    <row r="46" spans="1:30" ht="16.5" customHeight="1" x14ac:dyDescent="0.25">
      <c r="A46" s="19" t="s">
        <v>237</v>
      </c>
      <c r="B46" s="19" t="s">
        <v>238</v>
      </c>
      <c r="C46" s="19" t="s">
        <v>239</v>
      </c>
      <c r="D46" s="19" t="s">
        <v>240</v>
      </c>
      <c r="E46" s="20" t="s">
        <v>40</v>
      </c>
      <c r="F46" s="21">
        <v>3</v>
      </c>
      <c r="G46" s="22" t="s">
        <v>241</v>
      </c>
      <c r="H46" s="23">
        <v>7500</v>
      </c>
      <c r="I46" s="24">
        <v>7500</v>
      </c>
      <c r="J46" s="23">
        <v>7500</v>
      </c>
      <c r="K46" s="25">
        <f t="shared" si="0"/>
        <v>0</v>
      </c>
      <c r="L46" s="39">
        <f t="shared" si="1"/>
        <v>0</v>
      </c>
      <c r="M46" s="27">
        <v>0</v>
      </c>
      <c r="N46" s="28">
        <f t="shared" si="2"/>
        <v>7500</v>
      </c>
      <c r="O46" s="29">
        <f t="shared" si="3"/>
        <v>7500</v>
      </c>
      <c r="P46" s="29">
        <f t="shared" si="4"/>
        <v>7500</v>
      </c>
      <c r="Q46" s="30" t="e" cm="1">
        <f t="array" aca="1" ref="Q46" ca="1">spellNumber(P46)</f>
        <v>#NAME?</v>
      </c>
      <c r="R46" s="31">
        <f t="shared" si="5"/>
        <v>7700</v>
      </c>
      <c r="S46" s="32">
        <v>0</v>
      </c>
      <c r="T46" s="32">
        <v>22000</v>
      </c>
      <c r="U46" s="32">
        <v>7500</v>
      </c>
      <c r="V46" s="32">
        <v>7500</v>
      </c>
      <c r="W46" s="32">
        <v>7500</v>
      </c>
      <c r="X46" s="32">
        <v>7500</v>
      </c>
      <c r="Y46" s="32">
        <v>7500</v>
      </c>
      <c r="Z46" s="32">
        <v>7500</v>
      </c>
      <c r="AA46" s="33">
        <v>7500</v>
      </c>
      <c r="AB46" s="34">
        <v>7500</v>
      </c>
      <c r="AC46" s="35">
        <v>7500</v>
      </c>
      <c r="AD46" s="36"/>
    </row>
    <row r="47" spans="1:30" ht="16.5" customHeight="1" x14ac:dyDescent="0.25">
      <c r="A47" s="19" t="s">
        <v>242</v>
      </c>
      <c r="B47" s="19" t="s">
        <v>243</v>
      </c>
      <c r="C47" s="19" t="s">
        <v>62</v>
      </c>
      <c r="D47" s="19" t="s">
        <v>235</v>
      </c>
      <c r="E47" s="20" t="s">
        <v>34</v>
      </c>
      <c r="F47" s="21">
        <v>3</v>
      </c>
      <c r="G47" s="22" t="s">
        <v>244</v>
      </c>
      <c r="H47" s="23">
        <v>7200</v>
      </c>
      <c r="I47" s="24">
        <v>34650</v>
      </c>
      <c r="J47" s="23">
        <v>15000</v>
      </c>
      <c r="K47" s="25">
        <f t="shared" si="0"/>
        <v>19650</v>
      </c>
      <c r="L47" s="39">
        <f t="shared" si="1"/>
        <v>2.7291666666666665</v>
      </c>
      <c r="M47" s="27">
        <v>0</v>
      </c>
      <c r="N47" s="28">
        <f t="shared" si="2"/>
        <v>34650</v>
      </c>
      <c r="O47" s="29">
        <f t="shared" si="3"/>
        <v>34650</v>
      </c>
      <c r="P47" s="29">
        <f t="shared" si="4"/>
        <v>34700</v>
      </c>
      <c r="Q47" s="30" t="e" cm="1">
        <f t="array" aca="1" ref="Q47" ca="1">spellNumber(P47)</f>
        <v>#NAME?</v>
      </c>
      <c r="R47" s="31">
        <f t="shared" si="5"/>
        <v>34900</v>
      </c>
      <c r="S47" s="32">
        <v>6000</v>
      </c>
      <c r="T47" s="32">
        <v>0</v>
      </c>
      <c r="U47" s="32">
        <v>15000</v>
      </c>
      <c r="V47" s="32">
        <v>0</v>
      </c>
      <c r="W47" s="32">
        <v>0</v>
      </c>
      <c r="X47" s="32">
        <v>10000</v>
      </c>
      <c r="Y47" s="32">
        <v>10000</v>
      </c>
      <c r="Z47" s="32">
        <v>0</v>
      </c>
      <c r="AA47" s="33">
        <v>17350</v>
      </c>
      <c r="AB47" s="34">
        <v>17400</v>
      </c>
      <c r="AC47" s="35">
        <v>0</v>
      </c>
      <c r="AD47" s="36"/>
    </row>
    <row r="48" spans="1:30" ht="16.5" customHeight="1" x14ac:dyDescent="0.25">
      <c r="A48" s="19" t="s">
        <v>245</v>
      </c>
      <c r="B48" s="19" t="s">
        <v>246</v>
      </c>
      <c r="C48" s="19" t="s">
        <v>247</v>
      </c>
      <c r="D48" s="19" t="s">
        <v>248</v>
      </c>
      <c r="E48" s="20" t="s">
        <v>40</v>
      </c>
      <c r="F48" s="21">
        <v>4</v>
      </c>
      <c r="G48" s="22" t="s">
        <v>249</v>
      </c>
      <c r="H48" s="23">
        <v>10500</v>
      </c>
      <c r="I48" s="24">
        <v>10500</v>
      </c>
      <c r="J48" s="23">
        <v>10500</v>
      </c>
      <c r="K48" s="25">
        <f t="shared" si="0"/>
        <v>0</v>
      </c>
      <c r="L48" s="39">
        <f t="shared" si="1"/>
        <v>0</v>
      </c>
      <c r="M48" s="27">
        <v>0</v>
      </c>
      <c r="N48" s="28">
        <f t="shared" si="2"/>
        <v>10500</v>
      </c>
      <c r="O48" s="29">
        <f t="shared" si="3"/>
        <v>10500</v>
      </c>
      <c r="P48" s="29">
        <f t="shared" si="4"/>
        <v>10500</v>
      </c>
      <c r="Q48" s="30" t="e" cm="1">
        <f t="array" aca="1" ref="Q48" ca="1">spellNumber(P48)</f>
        <v>#NAME?</v>
      </c>
      <c r="R48" s="31">
        <f t="shared" si="5"/>
        <v>10700</v>
      </c>
      <c r="S48" s="32">
        <v>20500</v>
      </c>
      <c r="T48" s="32">
        <v>10500</v>
      </c>
      <c r="U48" s="32">
        <v>10500</v>
      </c>
      <c r="V48" s="32">
        <v>10500</v>
      </c>
      <c r="W48" s="32">
        <v>10500</v>
      </c>
      <c r="X48" s="32">
        <v>10500</v>
      </c>
      <c r="Y48" s="32">
        <v>10500</v>
      </c>
      <c r="Z48" s="32">
        <v>10500</v>
      </c>
      <c r="AA48" s="33">
        <v>10500</v>
      </c>
      <c r="AB48" s="34">
        <v>10500</v>
      </c>
      <c r="AC48" s="35">
        <v>10500</v>
      </c>
      <c r="AD48" s="36"/>
    </row>
    <row r="49" spans="1:30" ht="16.5" customHeight="1" x14ac:dyDescent="0.25">
      <c r="A49" s="19" t="s">
        <v>250</v>
      </c>
      <c r="B49" s="19" t="s">
        <v>251</v>
      </c>
      <c r="C49" s="19" t="s">
        <v>252</v>
      </c>
      <c r="D49" s="19" t="s">
        <v>253</v>
      </c>
      <c r="E49" s="20" t="s">
        <v>34</v>
      </c>
      <c r="F49" s="21">
        <v>6</v>
      </c>
      <c r="G49" s="22" t="s">
        <v>254</v>
      </c>
      <c r="H49" s="23">
        <v>8500</v>
      </c>
      <c r="I49" s="24">
        <v>26000</v>
      </c>
      <c r="J49" s="23">
        <v>0</v>
      </c>
      <c r="K49" s="25">
        <f t="shared" si="0"/>
        <v>26000</v>
      </c>
      <c r="L49" s="39">
        <f t="shared" si="1"/>
        <v>3.0588235294117645</v>
      </c>
      <c r="M49" s="27">
        <v>0</v>
      </c>
      <c r="N49" s="28">
        <f t="shared" si="2"/>
        <v>26000</v>
      </c>
      <c r="O49" s="29">
        <f t="shared" si="3"/>
        <v>26000</v>
      </c>
      <c r="P49" s="29">
        <f t="shared" si="4"/>
        <v>26000</v>
      </c>
      <c r="Q49" s="30" t="e" cm="1">
        <f t="array" aca="1" ref="Q49" ca="1">spellNumber(P49)</f>
        <v>#NAME?</v>
      </c>
      <c r="R49" s="31">
        <f t="shared" si="5"/>
        <v>26200</v>
      </c>
      <c r="S49" s="32">
        <v>0</v>
      </c>
      <c r="T49" s="32">
        <v>0</v>
      </c>
      <c r="U49" s="32">
        <v>16800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3">
        <v>0</v>
      </c>
      <c r="AB49" s="34">
        <v>88000</v>
      </c>
      <c r="AC49" s="35">
        <v>0</v>
      </c>
      <c r="AD49" s="36"/>
    </row>
    <row r="50" spans="1:30" ht="16.5" customHeight="1" x14ac:dyDescent="0.25">
      <c r="A50" s="19" t="s">
        <v>255</v>
      </c>
      <c r="B50" s="19" t="s">
        <v>256</v>
      </c>
      <c r="C50" s="19" t="s">
        <v>257</v>
      </c>
      <c r="D50" s="19" t="s">
        <v>258</v>
      </c>
      <c r="E50" s="20" t="s">
        <v>40</v>
      </c>
      <c r="F50" s="21">
        <v>3</v>
      </c>
      <c r="G50" s="22" t="s">
        <v>259</v>
      </c>
      <c r="H50" s="23">
        <v>6500</v>
      </c>
      <c r="I50" s="24">
        <v>6500</v>
      </c>
      <c r="J50" s="23">
        <v>6500</v>
      </c>
      <c r="K50" s="25">
        <f t="shared" si="0"/>
        <v>0</v>
      </c>
      <c r="L50" s="39">
        <f t="shared" si="1"/>
        <v>0</v>
      </c>
      <c r="M50" s="27">
        <v>0</v>
      </c>
      <c r="N50" s="28">
        <f t="shared" si="2"/>
        <v>6500</v>
      </c>
      <c r="O50" s="29">
        <f t="shared" si="3"/>
        <v>6500</v>
      </c>
      <c r="P50" s="29">
        <f t="shared" si="4"/>
        <v>6500</v>
      </c>
      <c r="Q50" s="30" t="e" cm="1">
        <f t="array" aca="1" ref="Q50" ca="1">spellNumber(P50)</f>
        <v>#NAME?</v>
      </c>
      <c r="R50" s="31">
        <f t="shared" si="5"/>
        <v>6700</v>
      </c>
      <c r="S50" s="32">
        <v>10000</v>
      </c>
      <c r="T50" s="32">
        <v>11000</v>
      </c>
      <c r="U50" s="32">
        <v>6500</v>
      </c>
      <c r="V50" s="32">
        <v>6500</v>
      </c>
      <c r="W50" s="32">
        <v>6500</v>
      </c>
      <c r="X50" s="32">
        <v>6500</v>
      </c>
      <c r="Y50" s="32">
        <v>6500</v>
      </c>
      <c r="Z50" s="32">
        <v>6500</v>
      </c>
      <c r="AA50" s="33">
        <v>6500</v>
      </c>
      <c r="AB50" s="34">
        <v>6500</v>
      </c>
      <c r="AC50" s="35">
        <v>6500</v>
      </c>
      <c r="AD50" s="36"/>
    </row>
    <row r="51" spans="1:30" ht="16.5" customHeight="1" x14ac:dyDescent="0.25">
      <c r="A51" s="19" t="s">
        <v>260</v>
      </c>
      <c r="B51" s="19" t="s">
        <v>261</v>
      </c>
      <c r="C51" s="19" t="s">
        <v>262</v>
      </c>
      <c r="D51" s="19" t="s">
        <v>202</v>
      </c>
      <c r="E51" s="20" t="s">
        <v>34</v>
      </c>
      <c r="F51" s="21">
        <v>2</v>
      </c>
      <c r="G51" s="22" t="s">
        <v>263</v>
      </c>
      <c r="H51" s="23">
        <v>5000</v>
      </c>
      <c r="I51" s="24">
        <v>5000</v>
      </c>
      <c r="J51" s="23">
        <v>5000</v>
      </c>
      <c r="K51" s="25">
        <f t="shared" si="0"/>
        <v>0</v>
      </c>
      <c r="L51" s="39">
        <f t="shared" si="1"/>
        <v>0</v>
      </c>
      <c r="M51" s="27">
        <v>0</v>
      </c>
      <c r="N51" s="28">
        <f t="shared" si="2"/>
        <v>5000</v>
      </c>
      <c r="O51" s="29">
        <f t="shared" si="3"/>
        <v>5000</v>
      </c>
      <c r="P51" s="29">
        <f t="shared" si="4"/>
        <v>5000</v>
      </c>
      <c r="Q51" s="30" t="e" cm="1">
        <f t="array" aca="1" ref="Q51" ca="1">spellNumber(P51)</f>
        <v>#NAME?</v>
      </c>
      <c r="R51" s="31">
        <f t="shared" si="5"/>
        <v>5200</v>
      </c>
      <c r="S51" s="32">
        <v>6000</v>
      </c>
      <c r="T51" s="32">
        <v>5000</v>
      </c>
      <c r="U51" s="32">
        <v>7000</v>
      </c>
      <c r="V51" s="32">
        <v>5000</v>
      </c>
      <c r="W51" s="32">
        <v>7000</v>
      </c>
      <c r="X51" s="32">
        <v>5000</v>
      </c>
      <c r="Y51" s="32">
        <v>5000</v>
      </c>
      <c r="Z51" s="32">
        <v>5000</v>
      </c>
      <c r="AA51" s="33">
        <v>5000</v>
      </c>
      <c r="AB51" s="34">
        <v>5000</v>
      </c>
      <c r="AC51" s="35">
        <v>5000</v>
      </c>
      <c r="AD51" s="36"/>
    </row>
    <row r="52" spans="1:30" ht="16.5" customHeight="1" x14ac:dyDescent="0.25">
      <c r="A52" s="19" t="s">
        <v>264</v>
      </c>
      <c r="B52" s="19" t="s">
        <v>265</v>
      </c>
      <c r="C52" s="19" t="s">
        <v>266</v>
      </c>
      <c r="D52" s="19" t="s">
        <v>83</v>
      </c>
      <c r="E52" s="20" t="s">
        <v>40</v>
      </c>
      <c r="F52" s="21">
        <v>1</v>
      </c>
      <c r="G52" s="22" t="s">
        <v>267</v>
      </c>
      <c r="H52" s="23">
        <v>2000</v>
      </c>
      <c r="I52" s="24">
        <v>2000</v>
      </c>
      <c r="J52" s="23">
        <v>2000</v>
      </c>
      <c r="K52" s="25">
        <f t="shared" si="0"/>
        <v>0</v>
      </c>
      <c r="L52" s="39">
        <f t="shared" si="1"/>
        <v>0</v>
      </c>
      <c r="M52" s="27">
        <v>0</v>
      </c>
      <c r="N52" s="28">
        <f t="shared" si="2"/>
        <v>2000</v>
      </c>
      <c r="O52" s="29">
        <f t="shared" si="3"/>
        <v>2000</v>
      </c>
      <c r="P52" s="29">
        <f t="shared" si="4"/>
        <v>2000</v>
      </c>
      <c r="Q52" s="30" t="e" cm="1">
        <f t="array" aca="1" ref="Q52" ca="1">spellNumber(P52)</f>
        <v>#NAME?</v>
      </c>
      <c r="R52" s="31">
        <f t="shared" si="5"/>
        <v>2200</v>
      </c>
      <c r="S52" s="32">
        <v>0</v>
      </c>
      <c r="T52" s="32">
        <v>6000</v>
      </c>
      <c r="U52" s="32">
        <v>2000</v>
      </c>
      <c r="V52" s="32">
        <v>2000</v>
      </c>
      <c r="W52" s="32">
        <v>2000</v>
      </c>
      <c r="X52" s="32">
        <v>2000</v>
      </c>
      <c r="Y52" s="32">
        <v>2000</v>
      </c>
      <c r="Z52" s="32">
        <v>2000</v>
      </c>
      <c r="AA52" s="33">
        <v>2000</v>
      </c>
      <c r="AB52" s="34">
        <v>2000</v>
      </c>
      <c r="AC52" s="35">
        <v>2000</v>
      </c>
      <c r="AD52" s="36"/>
    </row>
    <row r="53" spans="1:30" ht="16.5" customHeight="1" x14ac:dyDescent="0.25">
      <c r="A53" s="19" t="s">
        <v>268</v>
      </c>
      <c r="B53" s="19" t="s">
        <v>175</v>
      </c>
      <c r="C53" s="19" t="s">
        <v>269</v>
      </c>
      <c r="D53" s="19" t="s">
        <v>83</v>
      </c>
      <c r="E53" s="20" t="s">
        <v>40</v>
      </c>
      <c r="F53" s="21">
        <v>1</v>
      </c>
      <c r="G53" s="22" t="s">
        <v>270</v>
      </c>
      <c r="H53" s="23">
        <v>2500</v>
      </c>
      <c r="I53" s="24">
        <v>6000</v>
      </c>
      <c r="J53" s="23">
        <v>0</v>
      </c>
      <c r="K53" s="25">
        <f t="shared" si="0"/>
        <v>6000</v>
      </c>
      <c r="L53" s="39">
        <f t="shared" si="1"/>
        <v>2.4</v>
      </c>
      <c r="M53" s="27">
        <v>0</v>
      </c>
      <c r="N53" s="28">
        <f t="shared" si="2"/>
        <v>6000</v>
      </c>
      <c r="O53" s="29">
        <f t="shared" si="3"/>
        <v>6000</v>
      </c>
      <c r="P53" s="29">
        <f t="shared" si="4"/>
        <v>6000</v>
      </c>
      <c r="Q53" s="30" t="e" cm="1">
        <f t="array" aca="1" ref="Q53" ca="1">spellNumber(P53)</f>
        <v>#NAME?</v>
      </c>
      <c r="R53" s="31">
        <f t="shared" si="5"/>
        <v>6200</v>
      </c>
      <c r="S53" s="32">
        <v>0</v>
      </c>
      <c r="T53" s="32">
        <v>24000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3">
        <v>0</v>
      </c>
      <c r="AB53" s="34">
        <v>0</v>
      </c>
      <c r="AC53" s="35">
        <v>0</v>
      </c>
      <c r="AD53" s="36"/>
    </row>
    <row r="54" spans="1:30" ht="16.5" customHeight="1" x14ac:dyDescent="0.25">
      <c r="A54" s="19" t="s">
        <v>271</v>
      </c>
      <c r="B54" s="19" t="s">
        <v>272</v>
      </c>
      <c r="C54" s="19" t="s">
        <v>273</v>
      </c>
      <c r="D54" s="19" t="s">
        <v>83</v>
      </c>
      <c r="E54" s="20" t="s">
        <v>34</v>
      </c>
      <c r="F54" s="21">
        <v>1</v>
      </c>
      <c r="G54" s="22" t="s">
        <v>274</v>
      </c>
      <c r="H54" s="23">
        <v>3000</v>
      </c>
      <c r="I54" s="24">
        <v>3600</v>
      </c>
      <c r="J54" s="23">
        <v>3600</v>
      </c>
      <c r="K54" s="25">
        <f t="shared" si="0"/>
        <v>0</v>
      </c>
      <c r="L54" s="39">
        <f t="shared" si="1"/>
        <v>0</v>
      </c>
      <c r="M54" s="27">
        <v>0</v>
      </c>
      <c r="N54" s="28">
        <f t="shared" si="2"/>
        <v>3600</v>
      </c>
      <c r="O54" s="29">
        <f t="shared" si="3"/>
        <v>3600</v>
      </c>
      <c r="P54" s="29">
        <f t="shared" si="4"/>
        <v>3600</v>
      </c>
      <c r="Q54" s="30" t="e" cm="1">
        <f t="array" aca="1" ref="Q54" ca="1">spellNumber(P54)</f>
        <v>#NAME?</v>
      </c>
      <c r="R54" s="31">
        <f t="shared" si="5"/>
        <v>3800</v>
      </c>
      <c r="S54" s="32">
        <v>4500</v>
      </c>
      <c r="T54" s="32">
        <v>0</v>
      </c>
      <c r="U54" s="32">
        <v>0</v>
      </c>
      <c r="V54" s="32">
        <v>18000</v>
      </c>
      <c r="W54" s="32">
        <v>0</v>
      </c>
      <c r="X54" s="32">
        <v>3000</v>
      </c>
      <c r="Y54" s="32">
        <v>3000</v>
      </c>
      <c r="Z54" s="32">
        <v>0</v>
      </c>
      <c r="AA54" s="33">
        <v>3600</v>
      </c>
      <c r="AB54" s="34">
        <v>3600</v>
      </c>
      <c r="AC54" s="35">
        <v>3600</v>
      </c>
      <c r="AD54" s="36"/>
    </row>
    <row r="55" spans="1:30" ht="16.5" customHeight="1" x14ac:dyDescent="0.25">
      <c r="A55" s="19" t="s">
        <v>275</v>
      </c>
      <c r="B55" s="19" t="s">
        <v>276</v>
      </c>
      <c r="C55" s="19" t="s">
        <v>277</v>
      </c>
      <c r="D55" s="19" t="s">
        <v>83</v>
      </c>
      <c r="E55" s="20" t="s">
        <v>34</v>
      </c>
      <c r="F55" s="21">
        <v>1</v>
      </c>
      <c r="G55" s="22" t="s">
        <v>278</v>
      </c>
      <c r="H55" s="23">
        <v>2000</v>
      </c>
      <c r="I55" s="24">
        <v>3900</v>
      </c>
      <c r="J55" s="23">
        <v>0</v>
      </c>
      <c r="K55" s="25">
        <f t="shared" si="0"/>
        <v>3900</v>
      </c>
      <c r="L55" s="39">
        <f t="shared" si="1"/>
        <v>1.95</v>
      </c>
      <c r="M55" s="27">
        <v>0</v>
      </c>
      <c r="N55" s="28">
        <f t="shared" si="2"/>
        <v>3900</v>
      </c>
      <c r="O55" s="29">
        <f t="shared" si="3"/>
        <v>3900</v>
      </c>
      <c r="P55" s="29">
        <f t="shared" si="4"/>
        <v>3900</v>
      </c>
      <c r="Q55" s="30" t="e" cm="1">
        <f t="array" aca="1" ref="Q55" ca="1">spellNumber(P55)</f>
        <v>#NAME?</v>
      </c>
      <c r="R55" s="31">
        <f t="shared" si="5"/>
        <v>4100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14000</v>
      </c>
      <c r="Z55" s="32">
        <v>2000</v>
      </c>
      <c r="AA55" s="33">
        <v>2200</v>
      </c>
      <c r="AB55" s="34">
        <v>1900</v>
      </c>
      <c r="AC55" s="35">
        <v>0</v>
      </c>
      <c r="AD55" s="36"/>
    </row>
    <row r="56" spans="1:30" ht="16.5" customHeight="1" x14ac:dyDescent="0.25">
      <c r="A56" s="19" t="s">
        <v>279</v>
      </c>
      <c r="B56" s="19" t="s">
        <v>280</v>
      </c>
      <c r="C56" s="19" t="s">
        <v>281</v>
      </c>
      <c r="D56" s="19" t="s">
        <v>282</v>
      </c>
      <c r="E56" s="20" t="s">
        <v>34</v>
      </c>
      <c r="F56" s="21">
        <v>1</v>
      </c>
      <c r="G56" s="22" t="s">
        <v>283</v>
      </c>
      <c r="H56" s="23">
        <v>1800</v>
      </c>
      <c r="I56" s="24">
        <v>1800</v>
      </c>
      <c r="J56" s="23">
        <v>1800</v>
      </c>
      <c r="K56" s="40">
        <f t="shared" si="0"/>
        <v>0</v>
      </c>
      <c r="L56" s="41">
        <f t="shared" si="1"/>
        <v>0</v>
      </c>
      <c r="M56" s="27">
        <v>0</v>
      </c>
      <c r="N56" s="28">
        <f t="shared" si="2"/>
        <v>1800</v>
      </c>
      <c r="O56" s="29">
        <f t="shared" si="3"/>
        <v>1800</v>
      </c>
      <c r="P56" s="29">
        <f t="shared" si="4"/>
        <v>1800</v>
      </c>
      <c r="Q56" s="30" t="e" cm="1">
        <f t="array" aca="1" ref="Q56" ca="1">spellNumber(P56)</f>
        <v>#NAME?</v>
      </c>
      <c r="R56" s="31">
        <f t="shared" si="5"/>
        <v>2000</v>
      </c>
      <c r="S56" s="32">
        <v>2000</v>
      </c>
      <c r="T56" s="32">
        <v>1800</v>
      </c>
      <c r="U56" s="32">
        <v>0</v>
      </c>
      <c r="V56" s="32">
        <v>3600</v>
      </c>
      <c r="W56" s="32">
        <v>1800</v>
      </c>
      <c r="X56" s="32">
        <v>1800</v>
      </c>
      <c r="Y56" s="32">
        <v>1800</v>
      </c>
      <c r="Z56" s="32">
        <v>1800</v>
      </c>
      <c r="AA56" s="33">
        <v>1800</v>
      </c>
      <c r="AB56" s="34">
        <v>1800</v>
      </c>
      <c r="AC56" s="35">
        <v>1800</v>
      </c>
      <c r="AD56" s="36"/>
    </row>
    <row r="57" spans="1:30" ht="16.5" customHeight="1" x14ac:dyDescent="0.25">
      <c r="A57" s="19" t="s">
        <v>284</v>
      </c>
      <c r="B57" s="19" t="s">
        <v>285</v>
      </c>
      <c r="C57" s="19" t="s">
        <v>286</v>
      </c>
      <c r="D57" s="19" t="s">
        <v>282</v>
      </c>
      <c r="E57" s="20" t="s">
        <v>34</v>
      </c>
      <c r="F57" s="21">
        <v>1</v>
      </c>
      <c r="G57" s="22" t="s">
        <v>287</v>
      </c>
      <c r="H57" s="23">
        <v>1800</v>
      </c>
      <c r="I57" s="24">
        <v>1870</v>
      </c>
      <c r="J57" s="23">
        <v>1800</v>
      </c>
      <c r="K57" s="25">
        <f t="shared" si="0"/>
        <v>70</v>
      </c>
      <c r="L57" s="26">
        <f t="shared" si="1"/>
        <v>3.888888888888889E-2</v>
      </c>
      <c r="M57" s="27">
        <v>0</v>
      </c>
      <c r="N57" s="28">
        <f t="shared" si="2"/>
        <v>1870</v>
      </c>
      <c r="O57" s="29">
        <f t="shared" si="3"/>
        <v>1870</v>
      </c>
      <c r="P57" s="29">
        <f t="shared" si="4"/>
        <v>1900</v>
      </c>
      <c r="Q57" s="30" t="e" cm="1">
        <f t="array" aca="1" ref="Q57" ca="1">spellNumber(P57)</f>
        <v>#NAME?</v>
      </c>
      <c r="R57" s="31">
        <f t="shared" si="5"/>
        <v>2100</v>
      </c>
      <c r="S57" s="32">
        <v>0</v>
      </c>
      <c r="T57" s="32">
        <v>0</v>
      </c>
      <c r="U57" s="32">
        <v>0</v>
      </c>
      <c r="V57" s="32">
        <v>5000</v>
      </c>
      <c r="W57" s="32">
        <v>0</v>
      </c>
      <c r="X57" s="32">
        <v>7000</v>
      </c>
      <c r="Y57" s="32">
        <v>3600</v>
      </c>
      <c r="Z57" s="32">
        <v>1700</v>
      </c>
      <c r="AA57" s="33">
        <v>1830</v>
      </c>
      <c r="AB57" s="34">
        <v>1800</v>
      </c>
      <c r="AC57" s="35">
        <v>1800</v>
      </c>
      <c r="AD57" s="36"/>
    </row>
    <row r="58" spans="1:30" ht="16.5" customHeight="1" x14ac:dyDescent="0.25">
      <c r="A58" s="19" t="s">
        <v>288</v>
      </c>
      <c r="B58" s="19" t="s">
        <v>289</v>
      </c>
      <c r="C58" s="19" t="s">
        <v>290</v>
      </c>
      <c r="D58" s="19" t="s">
        <v>282</v>
      </c>
      <c r="E58" s="20" t="s">
        <v>34</v>
      </c>
      <c r="F58" s="21">
        <v>1</v>
      </c>
      <c r="G58" s="22" t="s">
        <v>291</v>
      </c>
      <c r="H58" s="23">
        <v>1800</v>
      </c>
      <c r="I58" s="24">
        <v>1800</v>
      </c>
      <c r="J58" s="23">
        <v>1800</v>
      </c>
      <c r="K58" s="25">
        <f t="shared" si="0"/>
        <v>0</v>
      </c>
      <c r="L58" s="26">
        <f t="shared" si="1"/>
        <v>0</v>
      </c>
      <c r="M58" s="27">
        <v>0</v>
      </c>
      <c r="N58" s="28">
        <f t="shared" si="2"/>
        <v>1800</v>
      </c>
      <c r="O58" s="29">
        <f t="shared" si="3"/>
        <v>1800</v>
      </c>
      <c r="P58" s="29">
        <f t="shared" si="4"/>
        <v>1800</v>
      </c>
      <c r="Q58" s="30" t="e" cm="1">
        <f t="array" aca="1" ref="Q58" ca="1">spellNumber(P58)</f>
        <v>#NAME?</v>
      </c>
      <c r="R58" s="31">
        <f t="shared" si="5"/>
        <v>2000</v>
      </c>
      <c r="S58" s="32">
        <v>0</v>
      </c>
      <c r="T58" s="32">
        <v>0</v>
      </c>
      <c r="U58" s="32">
        <v>0</v>
      </c>
      <c r="V58" s="32">
        <v>5000</v>
      </c>
      <c r="W58" s="32">
        <v>4000</v>
      </c>
      <c r="X58" s="32">
        <v>3800</v>
      </c>
      <c r="Y58" s="32">
        <v>1800</v>
      </c>
      <c r="Z58" s="32">
        <v>1800</v>
      </c>
      <c r="AA58" s="33">
        <v>1800</v>
      </c>
      <c r="AB58" s="34">
        <v>1800</v>
      </c>
      <c r="AC58" s="35">
        <v>1800</v>
      </c>
      <c r="AD58" s="36"/>
    </row>
    <row r="59" spans="1:30" ht="16.5" customHeight="1" x14ac:dyDescent="0.25">
      <c r="A59" s="19" t="s">
        <v>292</v>
      </c>
      <c r="B59" s="19" t="s">
        <v>293</v>
      </c>
      <c r="C59" s="19" t="s">
        <v>294</v>
      </c>
      <c r="D59" s="19" t="s">
        <v>282</v>
      </c>
      <c r="E59" s="20" t="s">
        <v>40</v>
      </c>
      <c r="F59" s="21">
        <v>1</v>
      </c>
      <c r="G59" s="22" t="s">
        <v>295</v>
      </c>
      <c r="H59" s="23">
        <v>2300</v>
      </c>
      <c r="I59" s="24">
        <v>5154</v>
      </c>
      <c r="J59" s="23">
        <v>0</v>
      </c>
      <c r="K59" s="25">
        <f t="shared" si="0"/>
        <v>5154</v>
      </c>
      <c r="L59" s="26">
        <f t="shared" si="1"/>
        <v>2.2408695652173911</v>
      </c>
      <c r="M59" s="27">
        <v>0</v>
      </c>
      <c r="N59" s="28">
        <f t="shared" si="2"/>
        <v>5154</v>
      </c>
      <c r="O59" s="29">
        <f t="shared" si="3"/>
        <v>5154</v>
      </c>
      <c r="P59" s="29">
        <f t="shared" si="4"/>
        <v>5200</v>
      </c>
      <c r="Q59" s="30" t="e" cm="1">
        <f t="array" aca="1" ref="Q59" ca="1">spellNumber(P59)</f>
        <v>#NAME?</v>
      </c>
      <c r="R59" s="31">
        <f t="shared" si="5"/>
        <v>5400</v>
      </c>
      <c r="S59" s="32">
        <v>5000</v>
      </c>
      <c r="T59" s="32">
        <v>0</v>
      </c>
      <c r="U59" s="32">
        <v>0</v>
      </c>
      <c r="V59" s="32">
        <v>4600</v>
      </c>
      <c r="W59" s="32">
        <v>2300</v>
      </c>
      <c r="X59" s="32">
        <v>0</v>
      </c>
      <c r="Y59" s="32">
        <v>3333</v>
      </c>
      <c r="Z59" s="32">
        <v>3013</v>
      </c>
      <c r="AA59" s="33">
        <v>2300</v>
      </c>
      <c r="AB59" s="34">
        <v>2300</v>
      </c>
      <c r="AC59" s="35">
        <v>2300</v>
      </c>
      <c r="AD59" s="36"/>
    </row>
    <row r="60" spans="1:30" ht="16.5" customHeight="1" x14ac:dyDescent="0.25">
      <c r="A60" s="19" t="s">
        <v>296</v>
      </c>
      <c r="B60" s="19" t="s">
        <v>297</v>
      </c>
      <c r="C60" s="19" t="s">
        <v>87</v>
      </c>
      <c r="D60" s="19" t="s">
        <v>282</v>
      </c>
      <c r="E60" s="20" t="s">
        <v>34</v>
      </c>
      <c r="F60" s="21">
        <v>1</v>
      </c>
      <c r="G60" s="22" t="s">
        <v>298</v>
      </c>
      <c r="H60" s="23">
        <v>2700</v>
      </c>
      <c r="I60" s="24">
        <v>2700</v>
      </c>
      <c r="J60" s="23">
        <v>2700</v>
      </c>
      <c r="K60" s="37">
        <f t="shared" si="0"/>
        <v>0</v>
      </c>
      <c r="L60" s="38">
        <f t="shared" si="1"/>
        <v>0</v>
      </c>
      <c r="M60" s="27">
        <v>0</v>
      </c>
      <c r="N60" s="28">
        <f t="shared" si="2"/>
        <v>2700</v>
      </c>
      <c r="O60" s="29">
        <f t="shared" si="3"/>
        <v>2700</v>
      </c>
      <c r="P60" s="29">
        <f t="shared" si="4"/>
        <v>2700</v>
      </c>
      <c r="Q60" s="30" t="e" cm="1">
        <f t="array" aca="1" ref="Q60" ca="1">spellNumber(P60)</f>
        <v>#NAME?</v>
      </c>
      <c r="R60" s="31">
        <f t="shared" si="5"/>
        <v>2900</v>
      </c>
      <c r="S60" s="32">
        <v>0</v>
      </c>
      <c r="T60" s="32">
        <v>8400</v>
      </c>
      <c r="U60" s="32">
        <v>2700</v>
      </c>
      <c r="V60" s="32">
        <v>2700</v>
      </c>
      <c r="W60" s="32">
        <v>2700</v>
      </c>
      <c r="X60" s="32">
        <v>3000</v>
      </c>
      <c r="Y60" s="32">
        <v>3000</v>
      </c>
      <c r="Z60" s="32">
        <v>0</v>
      </c>
      <c r="AA60" s="33">
        <v>5400</v>
      </c>
      <c r="AB60" s="34">
        <v>2700</v>
      </c>
      <c r="AC60" s="35">
        <v>2700</v>
      </c>
      <c r="AD60" s="36"/>
    </row>
    <row r="61" spans="1:30" ht="16.5" customHeight="1" x14ac:dyDescent="0.25">
      <c r="A61" s="19" t="s">
        <v>299</v>
      </c>
      <c r="B61" s="19" t="s">
        <v>300</v>
      </c>
      <c r="C61" s="19" t="s">
        <v>301</v>
      </c>
      <c r="D61" s="19" t="s">
        <v>302</v>
      </c>
      <c r="E61" s="20" t="s">
        <v>34</v>
      </c>
      <c r="F61" s="21">
        <v>2</v>
      </c>
      <c r="G61" s="22" t="s">
        <v>303</v>
      </c>
      <c r="H61" s="23">
        <v>5500</v>
      </c>
      <c r="I61" s="24">
        <v>5800</v>
      </c>
      <c r="J61" s="23">
        <v>5800</v>
      </c>
      <c r="K61" s="25">
        <f t="shared" si="0"/>
        <v>0</v>
      </c>
      <c r="L61" s="39">
        <f t="shared" si="1"/>
        <v>0</v>
      </c>
      <c r="M61" s="27">
        <v>0</v>
      </c>
      <c r="N61" s="28">
        <f t="shared" si="2"/>
        <v>5800</v>
      </c>
      <c r="O61" s="29">
        <f t="shared" si="3"/>
        <v>5800</v>
      </c>
      <c r="P61" s="29">
        <f t="shared" si="4"/>
        <v>5800</v>
      </c>
      <c r="Q61" s="30" t="e" cm="1">
        <f t="array" aca="1" ref="Q61" ca="1">spellNumber(P61)</f>
        <v>#NAME?</v>
      </c>
      <c r="R61" s="31">
        <f t="shared" si="5"/>
        <v>6000</v>
      </c>
      <c r="S61" s="32">
        <v>10000</v>
      </c>
      <c r="T61" s="32">
        <v>5500</v>
      </c>
      <c r="U61" s="32">
        <v>0</v>
      </c>
      <c r="V61" s="32">
        <v>11000</v>
      </c>
      <c r="W61" s="32">
        <v>5500</v>
      </c>
      <c r="X61" s="32">
        <v>0</v>
      </c>
      <c r="Y61" s="32">
        <v>11000</v>
      </c>
      <c r="Z61" s="32">
        <v>6000</v>
      </c>
      <c r="AA61" s="33">
        <v>6000</v>
      </c>
      <c r="AB61" s="34">
        <v>6200</v>
      </c>
      <c r="AC61" s="35">
        <v>6000</v>
      </c>
      <c r="AD61" s="36"/>
    </row>
    <row r="62" spans="1:30" ht="16.5" customHeight="1" x14ac:dyDescent="0.25">
      <c r="A62" s="19" t="s">
        <v>304</v>
      </c>
      <c r="B62" s="19" t="s">
        <v>305</v>
      </c>
      <c r="C62" s="19" t="s">
        <v>306</v>
      </c>
      <c r="D62" s="19" t="s">
        <v>282</v>
      </c>
      <c r="E62" s="20" t="s">
        <v>40</v>
      </c>
      <c r="F62" s="21">
        <v>1</v>
      </c>
      <c r="G62" s="22" t="s">
        <v>307</v>
      </c>
      <c r="H62" s="23">
        <v>2200</v>
      </c>
      <c r="I62" s="24">
        <v>2200</v>
      </c>
      <c r="J62" s="23">
        <v>2200</v>
      </c>
      <c r="K62" s="40">
        <f t="shared" si="0"/>
        <v>0</v>
      </c>
      <c r="L62" s="41">
        <f t="shared" si="1"/>
        <v>0</v>
      </c>
      <c r="M62" s="27">
        <v>0</v>
      </c>
      <c r="N62" s="28">
        <f t="shared" si="2"/>
        <v>2200</v>
      </c>
      <c r="O62" s="29">
        <f t="shared" si="3"/>
        <v>2200</v>
      </c>
      <c r="P62" s="29">
        <f t="shared" si="4"/>
        <v>2200</v>
      </c>
      <c r="Q62" s="30" t="e" cm="1">
        <f t="array" aca="1" ref="Q62" ca="1">spellNumber(P62)</f>
        <v>#NAME?</v>
      </c>
      <c r="R62" s="31">
        <f t="shared" si="5"/>
        <v>2400</v>
      </c>
      <c r="S62" s="32">
        <v>4700</v>
      </c>
      <c r="T62" s="32">
        <v>0</v>
      </c>
      <c r="U62" s="32">
        <v>4400</v>
      </c>
      <c r="V62" s="32">
        <v>2200</v>
      </c>
      <c r="W62" s="32">
        <v>0</v>
      </c>
      <c r="X62" s="32">
        <v>2200</v>
      </c>
      <c r="Y62" s="32">
        <v>4400</v>
      </c>
      <c r="Z62" s="32">
        <v>2200</v>
      </c>
      <c r="AA62" s="33">
        <v>2200</v>
      </c>
      <c r="AB62" s="34">
        <v>2200</v>
      </c>
      <c r="AC62" s="35">
        <v>2200</v>
      </c>
      <c r="AD62" s="36"/>
    </row>
    <row r="63" spans="1:30" ht="16.5" customHeight="1" x14ac:dyDescent="0.25">
      <c r="A63" s="19" t="s">
        <v>308</v>
      </c>
      <c r="B63" s="19" t="s">
        <v>309</v>
      </c>
      <c r="C63" s="19" t="s">
        <v>310</v>
      </c>
      <c r="D63" s="19" t="s">
        <v>282</v>
      </c>
      <c r="E63" s="20" t="s">
        <v>34</v>
      </c>
      <c r="F63" s="21">
        <v>1</v>
      </c>
      <c r="G63" s="22" t="s">
        <v>311</v>
      </c>
      <c r="H63" s="23">
        <v>3000</v>
      </c>
      <c r="I63" s="24">
        <v>3000</v>
      </c>
      <c r="J63" s="23">
        <v>3000</v>
      </c>
      <c r="K63" s="25">
        <f t="shared" si="0"/>
        <v>0</v>
      </c>
      <c r="L63" s="26">
        <f t="shared" si="1"/>
        <v>0</v>
      </c>
      <c r="M63" s="27">
        <v>0</v>
      </c>
      <c r="N63" s="28">
        <f t="shared" si="2"/>
        <v>3000</v>
      </c>
      <c r="O63" s="29">
        <f t="shared" si="3"/>
        <v>3000</v>
      </c>
      <c r="P63" s="29">
        <f t="shared" si="4"/>
        <v>3000</v>
      </c>
      <c r="Q63" s="30" t="e" cm="1">
        <f t="array" aca="1" ref="Q63" ca="1">spellNumber(P63)</f>
        <v>#NAME?</v>
      </c>
      <c r="R63" s="31">
        <f t="shared" si="5"/>
        <v>3200</v>
      </c>
      <c r="S63" s="32">
        <v>0</v>
      </c>
      <c r="T63" s="32">
        <v>9000</v>
      </c>
      <c r="U63" s="32">
        <v>0</v>
      </c>
      <c r="V63" s="32">
        <v>6000</v>
      </c>
      <c r="W63" s="32">
        <v>3000</v>
      </c>
      <c r="X63" s="32">
        <v>3000</v>
      </c>
      <c r="Y63" s="32">
        <v>3000</v>
      </c>
      <c r="Z63" s="32">
        <v>3000</v>
      </c>
      <c r="AA63" s="33">
        <v>3000</v>
      </c>
      <c r="AB63" s="34">
        <v>3000</v>
      </c>
      <c r="AC63" s="35">
        <v>3000</v>
      </c>
      <c r="AD63" s="36"/>
    </row>
    <row r="64" spans="1:30" ht="16.5" customHeight="1" x14ac:dyDescent="0.25">
      <c r="A64" s="19" t="s">
        <v>312</v>
      </c>
      <c r="B64" s="19" t="s">
        <v>159</v>
      </c>
      <c r="C64" s="19" t="s">
        <v>313</v>
      </c>
      <c r="D64" s="19" t="s">
        <v>282</v>
      </c>
      <c r="E64" s="20" t="s">
        <v>40</v>
      </c>
      <c r="F64" s="21">
        <v>1</v>
      </c>
      <c r="G64" s="22" t="s">
        <v>314</v>
      </c>
      <c r="H64" s="23">
        <v>0</v>
      </c>
      <c r="I64" s="24">
        <v>0</v>
      </c>
      <c r="J64" s="23">
        <v>0</v>
      </c>
      <c r="K64" s="25">
        <f t="shared" si="0"/>
        <v>0</v>
      </c>
      <c r="L64" s="26" t="e">
        <f t="shared" si="1"/>
        <v>#DIV/0!</v>
      </c>
      <c r="M64" s="27">
        <v>0</v>
      </c>
      <c r="N64" s="28">
        <f t="shared" si="2"/>
        <v>0</v>
      </c>
      <c r="O64" s="29">
        <f t="shared" si="3"/>
        <v>0</v>
      </c>
      <c r="P64" s="29">
        <f t="shared" si="4"/>
        <v>0</v>
      </c>
      <c r="Q64" s="30" t="e" cm="1">
        <f t="array" aca="1" ref="Q64" ca="1">spellNumber(P64)</f>
        <v>#NAME?</v>
      </c>
      <c r="R64" s="31">
        <f t="shared" si="5"/>
        <v>200</v>
      </c>
      <c r="S64" s="32">
        <v>5000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3">
        <v>0</v>
      </c>
      <c r="AB64" s="34">
        <v>0</v>
      </c>
      <c r="AC64" s="35">
        <v>0</v>
      </c>
      <c r="AD64" s="36"/>
    </row>
    <row r="65" spans="1:30" ht="16.5" customHeight="1" x14ac:dyDescent="0.25">
      <c r="A65" s="19" t="s">
        <v>315</v>
      </c>
      <c r="B65" s="19" t="s">
        <v>316</v>
      </c>
      <c r="C65" s="19" t="s">
        <v>317</v>
      </c>
      <c r="D65" s="19" t="s">
        <v>282</v>
      </c>
      <c r="E65" s="20" t="s">
        <v>34</v>
      </c>
      <c r="F65" s="21">
        <v>1</v>
      </c>
      <c r="G65" s="22" t="s">
        <v>318</v>
      </c>
      <c r="H65" s="23">
        <v>2000</v>
      </c>
      <c r="I65" s="24">
        <v>4500</v>
      </c>
      <c r="J65" s="23">
        <v>2000</v>
      </c>
      <c r="K65" s="25">
        <f t="shared" si="0"/>
        <v>2500</v>
      </c>
      <c r="L65" s="26">
        <f t="shared" si="1"/>
        <v>1.25</v>
      </c>
      <c r="M65" s="27">
        <v>0</v>
      </c>
      <c r="N65" s="28">
        <f t="shared" si="2"/>
        <v>4500</v>
      </c>
      <c r="O65" s="29">
        <f t="shared" si="3"/>
        <v>4500</v>
      </c>
      <c r="P65" s="29">
        <f t="shared" si="4"/>
        <v>4500</v>
      </c>
      <c r="Q65" s="30" t="e" cm="1">
        <f t="array" aca="1" ref="Q65" ca="1">spellNumber(P65)</f>
        <v>#NAME?</v>
      </c>
      <c r="R65" s="31">
        <f t="shared" si="5"/>
        <v>4700</v>
      </c>
      <c r="S65" s="32">
        <v>2000</v>
      </c>
      <c r="T65" s="32">
        <v>2000</v>
      </c>
      <c r="U65" s="32">
        <v>2000</v>
      </c>
      <c r="V65" s="32">
        <v>2000</v>
      </c>
      <c r="W65" s="32">
        <v>2000</v>
      </c>
      <c r="X65" s="32">
        <v>2000</v>
      </c>
      <c r="Y65" s="32">
        <v>2000</v>
      </c>
      <c r="Z65" s="32">
        <v>2000</v>
      </c>
      <c r="AA65" s="33">
        <v>2000</v>
      </c>
      <c r="AB65" s="34">
        <v>2000</v>
      </c>
      <c r="AC65" s="35">
        <v>2000</v>
      </c>
      <c r="AD65" s="36"/>
    </row>
    <row r="66" spans="1:30" ht="16.5" customHeight="1" x14ac:dyDescent="0.25">
      <c r="A66" s="19" t="s">
        <v>319</v>
      </c>
      <c r="B66" s="19" t="s">
        <v>320</v>
      </c>
      <c r="C66" s="19" t="s">
        <v>321</v>
      </c>
      <c r="D66" s="19" t="s">
        <v>282</v>
      </c>
      <c r="E66" s="20" t="s">
        <v>34</v>
      </c>
      <c r="F66" s="21">
        <v>2</v>
      </c>
      <c r="G66" s="22" t="s">
        <v>322</v>
      </c>
      <c r="H66" s="23">
        <v>5000</v>
      </c>
      <c r="I66" s="24">
        <v>6000</v>
      </c>
      <c r="J66" s="23">
        <v>6000</v>
      </c>
      <c r="K66" s="25">
        <f t="shared" ref="K66:K129" si="6">I66-J66</f>
        <v>0</v>
      </c>
      <c r="L66" s="26">
        <f t="shared" ref="L66:L129" si="7">K66/H66</f>
        <v>0</v>
      </c>
      <c r="M66" s="27">
        <v>0</v>
      </c>
      <c r="N66" s="28">
        <f t="shared" ref="N66:N129" si="8">I66+M66</f>
        <v>6000</v>
      </c>
      <c r="O66" s="29">
        <f t="shared" si="3"/>
        <v>6000</v>
      </c>
      <c r="P66" s="29">
        <f t="shared" si="4"/>
        <v>6000</v>
      </c>
      <c r="Q66" s="30" t="e" cm="1">
        <f t="array" aca="1" ref="Q66" ca="1">spellNumber(P66)</f>
        <v>#NAME?</v>
      </c>
      <c r="R66" s="31">
        <f t="shared" si="5"/>
        <v>6200</v>
      </c>
      <c r="S66" s="32">
        <v>8000</v>
      </c>
      <c r="T66" s="32">
        <v>0</v>
      </c>
      <c r="U66" s="32">
        <v>10000</v>
      </c>
      <c r="V66" s="32">
        <v>0</v>
      </c>
      <c r="W66" s="32">
        <v>0</v>
      </c>
      <c r="X66" s="32">
        <v>0</v>
      </c>
      <c r="Y66" s="32">
        <v>15000</v>
      </c>
      <c r="Z66" s="32">
        <v>10000</v>
      </c>
      <c r="AA66" s="33">
        <v>6300</v>
      </c>
      <c r="AB66" s="34">
        <v>5000</v>
      </c>
      <c r="AC66" s="35">
        <v>6000</v>
      </c>
      <c r="AD66" s="36"/>
    </row>
    <row r="67" spans="1:30" ht="16.5" customHeight="1" x14ac:dyDescent="0.25">
      <c r="A67" s="19" t="s">
        <v>323</v>
      </c>
      <c r="B67" s="19" t="s">
        <v>324</v>
      </c>
      <c r="C67" s="19" t="s">
        <v>325</v>
      </c>
      <c r="D67" s="19" t="s">
        <v>282</v>
      </c>
      <c r="E67" s="20" t="s">
        <v>40</v>
      </c>
      <c r="F67" s="21">
        <v>1</v>
      </c>
      <c r="G67" s="22" t="s">
        <v>326</v>
      </c>
      <c r="H67" s="23">
        <v>2000</v>
      </c>
      <c r="I67" s="24">
        <v>11100</v>
      </c>
      <c r="J67" s="23">
        <v>4500</v>
      </c>
      <c r="K67" s="25">
        <f t="shared" si="6"/>
        <v>6600</v>
      </c>
      <c r="L67" s="26">
        <f t="shared" si="7"/>
        <v>3.3</v>
      </c>
      <c r="M67" s="27">
        <v>0</v>
      </c>
      <c r="N67" s="28">
        <f t="shared" si="8"/>
        <v>11100</v>
      </c>
      <c r="O67" s="29">
        <f t="shared" ref="O67:O130" si="9">N67/1</f>
        <v>11100</v>
      </c>
      <c r="P67" s="29">
        <f t="shared" ref="P67:P130" si="10">ROUND(O67,-2)</f>
        <v>11100</v>
      </c>
      <c r="Q67" s="30" t="e" cm="1">
        <f t="array" aca="1" ref="Q67" ca="1">spellNumber(P67)</f>
        <v>#NAME?</v>
      </c>
      <c r="R67" s="31">
        <f t="shared" ref="R67:R130" si="11">P67+200</f>
        <v>11300</v>
      </c>
      <c r="S67" s="32">
        <v>3500</v>
      </c>
      <c r="T67" s="32">
        <v>0</v>
      </c>
      <c r="U67" s="32">
        <v>0</v>
      </c>
      <c r="V67" s="32">
        <v>5000</v>
      </c>
      <c r="W67" s="32">
        <v>3000</v>
      </c>
      <c r="X67" s="32">
        <v>0</v>
      </c>
      <c r="Y67" s="32">
        <v>3000</v>
      </c>
      <c r="Z67" s="32">
        <v>0</v>
      </c>
      <c r="AA67" s="33">
        <v>4000</v>
      </c>
      <c r="AB67" s="34">
        <v>2000</v>
      </c>
      <c r="AC67" s="35">
        <v>0</v>
      </c>
      <c r="AD67" s="36"/>
    </row>
    <row r="68" spans="1:30" ht="16.5" customHeight="1" x14ac:dyDescent="0.25">
      <c r="A68" s="19" t="s">
        <v>327</v>
      </c>
      <c r="B68" s="19" t="s">
        <v>328</v>
      </c>
      <c r="C68" s="19" t="s">
        <v>329</v>
      </c>
      <c r="D68" s="19" t="s">
        <v>330</v>
      </c>
      <c r="E68" s="20" t="s">
        <v>40</v>
      </c>
      <c r="F68" s="21">
        <v>2</v>
      </c>
      <c r="G68" s="22" t="s">
        <v>331</v>
      </c>
      <c r="H68" s="23">
        <v>5000</v>
      </c>
      <c r="I68" s="24">
        <v>5000</v>
      </c>
      <c r="J68" s="23">
        <v>5000</v>
      </c>
      <c r="K68" s="25">
        <f t="shared" si="6"/>
        <v>0</v>
      </c>
      <c r="L68" s="26">
        <f t="shared" si="7"/>
        <v>0</v>
      </c>
      <c r="M68" s="27">
        <v>0</v>
      </c>
      <c r="N68" s="28">
        <f t="shared" si="8"/>
        <v>5000</v>
      </c>
      <c r="O68" s="29">
        <f t="shared" si="9"/>
        <v>5000</v>
      </c>
      <c r="P68" s="29">
        <f t="shared" si="10"/>
        <v>5000</v>
      </c>
      <c r="Q68" s="30" t="e" cm="1">
        <f t="array" aca="1" ref="Q68" ca="1">spellNumber(P68)</f>
        <v>#NAME?</v>
      </c>
      <c r="R68" s="31">
        <f t="shared" si="11"/>
        <v>5200</v>
      </c>
      <c r="S68" s="32">
        <v>6000</v>
      </c>
      <c r="T68" s="32">
        <v>6000</v>
      </c>
      <c r="U68" s="32">
        <v>5000</v>
      </c>
      <c r="V68" s="32">
        <v>7000</v>
      </c>
      <c r="W68" s="32">
        <v>5000</v>
      </c>
      <c r="X68" s="32">
        <v>5000</v>
      </c>
      <c r="Y68" s="32">
        <v>5000</v>
      </c>
      <c r="Z68" s="32">
        <v>5000</v>
      </c>
      <c r="AA68" s="33">
        <v>5000</v>
      </c>
      <c r="AB68" s="34">
        <v>5000</v>
      </c>
      <c r="AC68" s="35">
        <v>5000</v>
      </c>
      <c r="AD68" s="36"/>
    </row>
    <row r="69" spans="1:30" ht="16.5" customHeight="1" x14ac:dyDescent="0.25">
      <c r="A69" s="19" t="s">
        <v>332</v>
      </c>
      <c r="B69" s="19" t="s">
        <v>333</v>
      </c>
      <c r="C69" s="19" t="s">
        <v>334</v>
      </c>
      <c r="D69" s="19" t="s">
        <v>54</v>
      </c>
      <c r="E69" s="20" t="s">
        <v>40</v>
      </c>
      <c r="F69" s="21">
        <v>1</v>
      </c>
      <c r="G69" s="22" t="s">
        <v>335</v>
      </c>
      <c r="H69" s="23">
        <v>2300</v>
      </c>
      <c r="I69" s="24">
        <v>2300</v>
      </c>
      <c r="J69" s="23">
        <v>2300</v>
      </c>
      <c r="K69" s="25">
        <f t="shared" si="6"/>
        <v>0</v>
      </c>
      <c r="L69" s="26">
        <f t="shared" si="7"/>
        <v>0</v>
      </c>
      <c r="M69" s="27">
        <v>0</v>
      </c>
      <c r="N69" s="28">
        <f t="shared" si="8"/>
        <v>2300</v>
      </c>
      <c r="O69" s="29">
        <f t="shared" si="9"/>
        <v>2300</v>
      </c>
      <c r="P69" s="29">
        <f t="shared" si="10"/>
        <v>2300</v>
      </c>
      <c r="Q69" s="30" t="e" cm="1">
        <f t="array" aca="1" ref="Q69" ca="1">spellNumber(P69)</f>
        <v>#NAME?</v>
      </c>
      <c r="R69" s="31">
        <f t="shared" si="11"/>
        <v>2500</v>
      </c>
      <c r="S69" s="32">
        <v>4800</v>
      </c>
      <c r="T69" s="32">
        <v>0</v>
      </c>
      <c r="U69" s="32">
        <v>4000</v>
      </c>
      <c r="V69" s="32">
        <v>0</v>
      </c>
      <c r="W69" s="32">
        <v>0</v>
      </c>
      <c r="X69" s="32">
        <v>7500</v>
      </c>
      <c r="Y69" s="32">
        <v>2300</v>
      </c>
      <c r="Z69" s="32">
        <v>0</v>
      </c>
      <c r="AA69" s="33">
        <v>2300</v>
      </c>
      <c r="AB69" s="34">
        <v>2300</v>
      </c>
      <c r="AC69" s="35">
        <v>2300</v>
      </c>
      <c r="AD69" s="36"/>
    </row>
    <row r="70" spans="1:30" ht="16.5" customHeight="1" x14ac:dyDescent="0.25">
      <c r="A70" s="19" t="s">
        <v>336</v>
      </c>
      <c r="B70" s="19" t="s">
        <v>337</v>
      </c>
      <c r="C70" s="19" t="s">
        <v>338</v>
      </c>
      <c r="D70" s="19" t="s">
        <v>282</v>
      </c>
      <c r="E70" s="20" t="s">
        <v>34</v>
      </c>
      <c r="F70" s="21">
        <v>1</v>
      </c>
      <c r="G70" s="22" t="s">
        <v>339</v>
      </c>
      <c r="H70" s="23">
        <v>3000</v>
      </c>
      <c r="I70" s="24">
        <v>5400</v>
      </c>
      <c r="J70" s="23">
        <v>5400</v>
      </c>
      <c r="K70" s="25">
        <f t="shared" si="6"/>
        <v>0</v>
      </c>
      <c r="L70" s="26">
        <f t="shared" si="7"/>
        <v>0</v>
      </c>
      <c r="M70" s="27">
        <v>0</v>
      </c>
      <c r="N70" s="28">
        <f t="shared" si="8"/>
        <v>5400</v>
      </c>
      <c r="O70" s="29">
        <f t="shared" si="9"/>
        <v>5400</v>
      </c>
      <c r="P70" s="29">
        <f t="shared" si="10"/>
        <v>5400</v>
      </c>
      <c r="Q70" s="30" t="e" cm="1">
        <f t="array" aca="1" ref="Q70" ca="1">spellNumber(P70)</f>
        <v>#NAME?</v>
      </c>
      <c r="R70" s="31">
        <f t="shared" si="11"/>
        <v>5600</v>
      </c>
      <c r="S70" s="32">
        <v>5000</v>
      </c>
      <c r="T70" s="32">
        <v>3000</v>
      </c>
      <c r="U70" s="32">
        <v>0</v>
      </c>
      <c r="V70" s="32">
        <v>6000</v>
      </c>
      <c r="W70" s="32">
        <v>3000</v>
      </c>
      <c r="X70" s="32">
        <v>3000</v>
      </c>
      <c r="Y70" s="32">
        <v>3000</v>
      </c>
      <c r="Z70" s="32">
        <v>4200</v>
      </c>
      <c r="AA70" s="33">
        <v>2700</v>
      </c>
      <c r="AB70" s="34">
        <v>2700</v>
      </c>
      <c r="AC70" s="35">
        <v>0</v>
      </c>
      <c r="AD70" s="36"/>
    </row>
    <row r="71" spans="1:30" ht="16.5" customHeight="1" x14ac:dyDescent="0.25">
      <c r="A71" s="19" t="s">
        <v>340</v>
      </c>
      <c r="B71" s="19" t="s">
        <v>341</v>
      </c>
      <c r="C71" s="19" t="s">
        <v>342</v>
      </c>
      <c r="D71" s="19" t="s">
        <v>54</v>
      </c>
      <c r="E71" s="20" t="s">
        <v>34</v>
      </c>
      <c r="F71" s="21">
        <v>1</v>
      </c>
      <c r="G71" s="22" t="s">
        <v>343</v>
      </c>
      <c r="H71" s="23">
        <v>2700</v>
      </c>
      <c r="I71" s="24">
        <v>4800</v>
      </c>
      <c r="J71" s="23">
        <v>4800</v>
      </c>
      <c r="K71" s="25">
        <f t="shared" si="6"/>
        <v>0</v>
      </c>
      <c r="L71" s="26">
        <f t="shared" si="7"/>
        <v>0</v>
      </c>
      <c r="M71" s="27">
        <v>0</v>
      </c>
      <c r="N71" s="28">
        <f t="shared" si="8"/>
        <v>4800</v>
      </c>
      <c r="O71" s="29">
        <f t="shared" si="9"/>
        <v>4800</v>
      </c>
      <c r="P71" s="29">
        <f t="shared" si="10"/>
        <v>4800</v>
      </c>
      <c r="Q71" s="30" t="e" cm="1">
        <f t="array" aca="1" ref="Q71" ca="1">spellNumber(P71)</f>
        <v>#NAME?</v>
      </c>
      <c r="R71" s="31">
        <f t="shared" si="11"/>
        <v>5000</v>
      </c>
      <c r="S71" s="32">
        <v>0</v>
      </c>
      <c r="T71" s="32">
        <v>11000</v>
      </c>
      <c r="U71" s="32">
        <v>8000</v>
      </c>
      <c r="V71" s="32">
        <v>0</v>
      </c>
      <c r="W71" s="32">
        <v>4000</v>
      </c>
      <c r="X71" s="32">
        <v>3000</v>
      </c>
      <c r="Y71" s="32">
        <v>3000</v>
      </c>
      <c r="Z71" s="32">
        <v>0</v>
      </c>
      <c r="AA71" s="33">
        <v>5000</v>
      </c>
      <c r="AB71" s="34">
        <v>4800</v>
      </c>
      <c r="AC71" s="35">
        <v>4900</v>
      </c>
      <c r="AD71" s="36"/>
    </row>
    <row r="72" spans="1:30" ht="16.5" customHeight="1" x14ac:dyDescent="0.25">
      <c r="A72" s="19" t="s">
        <v>344</v>
      </c>
      <c r="B72" s="19" t="s">
        <v>345</v>
      </c>
      <c r="C72" s="19" t="s">
        <v>346</v>
      </c>
      <c r="D72" s="19" t="s">
        <v>347</v>
      </c>
      <c r="E72" s="20" t="s">
        <v>34</v>
      </c>
      <c r="F72" s="21">
        <v>2</v>
      </c>
      <c r="G72" s="22" t="s">
        <v>348</v>
      </c>
      <c r="H72" s="23">
        <v>4500</v>
      </c>
      <c r="I72" s="24">
        <v>40000</v>
      </c>
      <c r="J72" s="23">
        <v>0</v>
      </c>
      <c r="K72" s="25">
        <f t="shared" si="6"/>
        <v>40000</v>
      </c>
      <c r="L72" s="26">
        <f t="shared" si="7"/>
        <v>8.8888888888888893</v>
      </c>
      <c r="M72" s="27">
        <v>0</v>
      </c>
      <c r="N72" s="28">
        <f t="shared" si="8"/>
        <v>40000</v>
      </c>
      <c r="O72" s="29">
        <f t="shared" si="9"/>
        <v>40000</v>
      </c>
      <c r="P72" s="29">
        <f t="shared" si="10"/>
        <v>40000</v>
      </c>
      <c r="Q72" s="30" t="e" cm="1">
        <f t="array" aca="1" ref="Q72" ca="1">spellNumber(P72)</f>
        <v>#NAME?</v>
      </c>
      <c r="R72" s="31">
        <f t="shared" si="11"/>
        <v>40200</v>
      </c>
      <c r="S72" s="32">
        <v>0</v>
      </c>
      <c r="T72" s="32">
        <v>0</v>
      </c>
      <c r="U72" s="32">
        <v>20000</v>
      </c>
      <c r="V72" s="32">
        <v>0</v>
      </c>
      <c r="W72" s="32">
        <v>0</v>
      </c>
      <c r="X72" s="32">
        <v>0</v>
      </c>
      <c r="Y72" s="32">
        <v>0</v>
      </c>
      <c r="Z72" s="32">
        <v>0</v>
      </c>
      <c r="AA72" s="33">
        <v>0</v>
      </c>
      <c r="AB72" s="34">
        <v>10000</v>
      </c>
      <c r="AC72" s="35">
        <v>0</v>
      </c>
      <c r="AD72" s="36"/>
    </row>
    <row r="73" spans="1:30" ht="16.5" customHeight="1" x14ac:dyDescent="0.25">
      <c r="A73" s="19" t="s">
        <v>349</v>
      </c>
      <c r="B73" s="19" t="s">
        <v>350</v>
      </c>
      <c r="C73" s="19" t="s">
        <v>351</v>
      </c>
      <c r="D73" s="19" t="s">
        <v>352</v>
      </c>
      <c r="E73" s="20" t="s">
        <v>34</v>
      </c>
      <c r="F73" s="21">
        <v>2</v>
      </c>
      <c r="G73" s="22" t="s">
        <v>353</v>
      </c>
      <c r="H73" s="23">
        <v>4500</v>
      </c>
      <c r="I73" s="24">
        <v>12400</v>
      </c>
      <c r="J73" s="23">
        <v>6000</v>
      </c>
      <c r="K73" s="25">
        <f t="shared" si="6"/>
        <v>6400</v>
      </c>
      <c r="L73" s="26">
        <f t="shared" si="7"/>
        <v>1.4222222222222223</v>
      </c>
      <c r="M73" s="27">
        <v>0</v>
      </c>
      <c r="N73" s="28">
        <f t="shared" si="8"/>
        <v>12400</v>
      </c>
      <c r="O73" s="29">
        <f t="shared" si="9"/>
        <v>12400</v>
      </c>
      <c r="P73" s="29">
        <f t="shared" si="10"/>
        <v>12400</v>
      </c>
      <c r="Q73" s="30" t="e" cm="1">
        <f t="array" aca="1" ref="Q73" ca="1">spellNumber(P73)</f>
        <v>#NAME?</v>
      </c>
      <c r="R73" s="31">
        <f t="shared" si="11"/>
        <v>12600</v>
      </c>
      <c r="S73" s="32">
        <v>6000</v>
      </c>
      <c r="T73" s="32">
        <v>0</v>
      </c>
      <c r="U73" s="32">
        <v>5000</v>
      </c>
      <c r="V73" s="32">
        <v>6000</v>
      </c>
      <c r="W73" s="32">
        <v>6000</v>
      </c>
      <c r="X73" s="32">
        <v>5000</v>
      </c>
      <c r="Y73" s="32">
        <v>5000</v>
      </c>
      <c r="Z73" s="32">
        <v>7600</v>
      </c>
      <c r="AA73" s="33">
        <v>6000</v>
      </c>
      <c r="AB73" s="34">
        <v>6000</v>
      </c>
      <c r="AC73" s="35">
        <v>6000</v>
      </c>
      <c r="AD73" s="36"/>
    </row>
    <row r="74" spans="1:30" ht="16.5" customHeight="1" x14ac:dyDescent="0.25">
      <c r="A74" s="19" t="s">
        <v>354</v>
      </c>
      <c r="B74" s="19" t="s">
        <v>355</v>
      </c>
      <c r="C74" s="19" t="s">
        <v>356</v>
      </c>
      <c r="D74" s="19" t="s">
        <v>357</v>
      </c>
      <c r="E74" s="20" t="s">
        <v>34</v>
      </c>
      <c r="F74" s="21">
        <v>3</v>
      </c>
      <c r="G74" s="22" t="s">
        <v>358</v>
      </c>
      <c r="H74" s="23">
        <v>4000</v>
      </c>
      <c r="I74" s="24">
        <v>5134</v>
      </c>
      <c r="J74" s="23">
        <v>4000</v>
      </c>
      <c r="K74" s="25">
        <f t="shared" si="6"/>
        <v>1134</v>
      </c>
      <c r="L74" s="26">
        <f t="shared" si="7"/>
        <v>0.28349999999999997</v>
      </c>
      <c r="M74" s="27">
        <v>0</v>
      </c>
      <c r="N74" s="28">
        <f t="shared" si="8"/>
        <v>5134</v>
      </c>
      <c r="O74" s="29">
        <f t="shared" si="9"/>
        <v>5134</v>
      </c>
      <c r="P74" s="29">
        <f t="shared" si="10"/>
        <v>5100</v>
      </c>
      <c r="Q74" s="30" t="e" cm="1">
        <f t="array" aca="1" ref="Q74" ca="1">spellNumber(P74)</f>
        <v>#NAME?</v>
      </c>
      <c r="R74" s="31">
        <f t="shared" si="11"/>
        <v>5300</v>
      </c>
      <c r="S74" s="32">
        <v>3000</v>
      </c>
      <c r="T74" s="32">
        <v>6000</v>
      </c>
      <c r="U74" s="32">
        <v>4000</v>
      </c>
      <c r="V74" s="32">
        <v>4000</v>
      </c>
      <c r="W74" s="32">
        <v>4000</v>
      </c>
      <c r="X74" s="32">
        <v>4000</v>
      </c>
      <c r="Y74" s="32">
        <v>4833</v>
      </c>
      <c r="Z74" s="32">
        <v>4833</v>
      </c>
      <c r="AA74" s="33">
        <v>4000</v>
      </c>
      <c r="AB74" s="34">
        <v>5100</v>
      </c>
      <c r="AC74" s="35">
        <v>5100</v>
      </c>
      <c r="AD74" s="36"/>
    </row>
    <row r="75" spans="1:30" ht="16.5" customHeight="1" x14ac:dyDescent="0.25">
      <c r="A75" s="19" t="s">
        <v>359</v>
      </c>
      <c r="B75" s="19" t="s">
        <v>360</v>
      </c>
      <c r="C75" s="19" t="s">
        <v>361</v>
      </c>
      <c r="D75" s="19" t="s">
        <v>362</v>
      </c>
      <c r="E75" s="20" t="s">
        <v>40</v>
      </c>
      <c r="F75" s="21">
        <v>2</v>
      </c>
      <c r="G75" s="22" t="s">
        <v>363</v>
      </c>
      <c r="H75" s="23">
        <v>5500</v>
      </c>
      <c r="I75" s="24">
        <v>5766</v>
      </c>
      <c r="J75" s="23">
        <v>5766</v>
      </c>
      <c r="K75" s="25">
        <f t="shared" si="6"/>
        <v>0</v>
      </c>
      <c r="L75" s="26">
        <f t="shared" si="7"/>
        <v>0</v>
      </c>
      <c r="M75" s="27">
        <v>0</v>
      </c>
      <c r="N75" s="28">
        <f t="shared" si="8"/>
        <v>5766</v>
      </c>
      <c r="O75" s="29">
        <f t="shared" si="9"/>
        <v>5766</v>
      </c>
      <c r="P75" s="29">
        <f t="shared" si="10"/>
        <v>5800</v>
      </c>
      <c r="Q75" s="30" t="e" cm="1">
        <f t="array" aca="1" ref="Q75" ca="1">spellNumber(P75)</f>
        <v>#NAME?</v>
      </c>
      <c r="R75" s="31">
        <f t="shared" si="11"/>
        <v>6000</v>
      </c>
      <c r="S75" s="32">
        <v>6000</v>
      </c>
      <c r="T75" s="32">
        <v>3000</v>
      </c>
      <c r="U75" s="32">
        <v>3000</v>
      </c>
      <c r="V75" s="32">
        <v>3000</v>
      </c>
      <c r="W75" s="32">
        <v>6000</v>
      </c>
      <c r="X75" s="32">
        <v>5500</v>
      </c>
      <c r="Y75" s="32">
        <v>5917</v>
      </c>
      <c r="Z75" s="32">
        <v>5917</v>
      </c>
      <c r="AA75" s="33">
        <v>6000</v>
      </c>
      <c r="AB75" s="34">
        <v>5900</v>
      </c>
      <c r="AC75" s="35">
        <v>6000</v>
      </c>
      <c r="AD75" s="36"/>
    </row>
    <row r="76" spans="1:30" ht="16.5" customHeight="1" x14ac:dyDescent="0.25">
      <c r="A76" s="19" t="s">
        <v>364</v>
      </c>
      <c r="B76" s="19" t="s">
        <v>365</v>
      </c>
      <c r="C76" s="19" t="s">
        <v>366</v>
      </c>
      <c r="D76" s="19" t="s">
        <v>112</v>
      </c>
      <c r="E76" s="20" t="s">
        <v>40</v>
      </c>
      <c r="F76" s="21">
        <v>2</v>
      </c>
      <c r="G76" s="22" t="s">
        <v>343</v>
      </c>
      <c r="H76" s="23">
        <v>6100</v>
      </c>
      <c r="I76" s="24">
        <v>0</v>
      </c>
      <c r="J76" s="23">
        <v>0</v>
      </c>
      <c r="K76" s="25">
        <f t="shared" si="6"/>
        <v>0</v>
      </c>
      <c r="L76" s="26">
        <f t="shared" si="7"/>
        <v>0</v>
      </c>
      <c r="M76" s="27">
        <v>0</v>
      </c>
      <c r="N76" s="28">
        <f t="shared" si="8"/>
        <v>0</v>
      </c>
      <c r="O76" s="29">
        <f t="shared" si="9"/>
        <v>0</v>
      </c>
      <c r="P76" s="29">
        <f t="shared" si="10"/>
        <v>0</v>
      </c>
      <c r="Q76" s="30" t="e" cm="1">
        <f t="array" aca="1" ref="Q76" ca="1">spellNumber(P76)</f>
        <v>#NAME?</v>
      </c>
      <c r="R76" s="31">
        <f t="shared" si="11"/>
        <v>200</v>
      </c>
      <c r="S76" s="32">
        <v>94000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3">
        <v>0</v>
      </c>
      <c r="AB76" s="34">
        <v>0</v>
      </c>
      <c r="AC76" s="35">
        <v>0</v>
      </c>
      <c r="AD76" s="36"/>
    </row>
    <row r="77" spans="1:30" ht="16.5" customHeight="1" x14ac:dyDescent="0.25">
      <c r="A77" s="19" t="s">
        <v>367</v>
      </c>
      <c r="B77" s="19" t="s">
        <v>368</v>
      </c>
      <c r="C77" s="19" t="s">
        <v>369</v>
      </c>
      <c r="D77" s="19" t="s">
        <v>347</v>
      </c>
      <c r="E77" s="20" t="s">
        <v>40</v>
      </c>
      <c r="F77" s="21">
        <v>2</v>
      </c>
      <c r="G77" s="22" t="s">
        <v>370</v>
      </c>
      <c r="H77" s="23">
        <v>2700</v>
      </c>
      <c r="I77" s="24">
        <v>5200</v>
      </c>
      <c r="J77" s="23">
        <v>5200</v>
      </c>
      <c r="K77" s="25">
        <f t="shared" si="6"/>
        <v>0</v>
      </c>
      <c r="L77" s="26">
        <f t="shared" si="7"/>
        <v>0</v>
      </c>
      <c r="M77" s="27">
        <v>0</v>
      </c>
      <c r="N77" s="28">
        <f t="shared" si="8"/>
        <v>5200</v>
      </c>
      <c r="O77" s="29">
        <f t="shared" si="9"/>
        <v>5200</v>
      </c>
      <c r="P77" s="29">
        <f t="shared" si="10"/>
        <v>5200</v>
      </c>
      <c r="Q77" s="30" t="e" cm="1">
        <f t="array" aca="1" ref="Q77" ca="1">spellNumber(P77)</f>
        <v>#NAME?</v>
      </c>
      <c r="R77" s="31">
        <f t="shared" si="11"/>
        <v>5400</v>
      </c>
      <c r="S77" s="32">
        <v>5000</v>
      </c>
      <c r="T77" s="32">
        <v>0</v>
      </c>
      <c r="U77" s="32">
        <v>0</v>
      </c>
      <c r="V77" s="32">
        <v>5400</v>
      </c>
      <c r="W77" s="32">
        <v>0</v>
      </c>
      <c r="X77" s="32">
        <v>5000</v>
      </c>
      <c r="Y77" s="32">
        <v>4000</v>
      </c>
      <c r="Z77" s="32">
        <v>5200</v>
      </c>
      <c r="AA77" s="33">
        <v>5200</v>
      </c>
      <c r="AB77" s="34">
        <v>5200</v>
      </c>
      <c r="AC77" s="35">
        <v>5200</v>
      </c>
      <c r="AD77" s="36"/>
    </row>
    <row r="78" spans="1:30" ht="16.5" customHeight="1" x14ac:dyDescent="0.25">
      <c r="A78" s="19" t="s">
        <v>371</v>
      </c>
      <c r="B78" s="19" t="s">
        <v>372</v>
      </c>
      <c r="C78" s="19" t="s">
        <v>373</v>
      </c>
      <c r="D78" s="19" t="s">
        <v>330</v>
      </c>
      <c r="E78" s="20" t="s">
        <v>40</v>
      </c>
      <c r="F78" s="21">
        <v>2</v>
      </c>
      <c r="G78" s="22" t="s">
        <v>374</v>
      </c>
      <c r="H78" s="23">
        <v>4800</v>
      </c>
      <c r="I78" s="24">
        <v>9400</v>
      </c>
      <c r="J78" s="23">
        <v>9400</v>
      </c>
      <c r="K78" s="25">
        <f t="shared" si="6"/>
        <v>0</v>
      </c>
      <c r="L78" s="26">
        <f t="shared" si="7"/>
        <v>0</v>
      </c>
      <c r="M78" s="27">
        <v>0</v>
      </c>
      <c r="N78" s="28">
        <f t="shared" si="8"/>
        <v>9400</v>
      </c>
      <c r="O78" s="29">
        <f t="shared" si="9"/>
        <v>9400</v>
      </c>
      <c r="P78" s="29">
        <f t="shared" si="10"/>
        <v>9400</v>
      </c>
      <c r="Q78" s="30" t="e" cm="1">
        <f t="array" aca="1" ref="Q78" ca="1">spellNumber(P78)</f>
        <v>#NAME?</v>
      </c>
      <c r="R78" s="31">
        <f t="shared" si="11"/>
        <v>9600</v>
      </c>
      <c r="S78" s="32">
        <v>9000</v>
      </c>
      <c r="T78" s="32">
        <v>4600</v>
      </c>
      <c r="U78" s="32">
        <v>0</v>
      </c>
      <c r="V78" s="32">
        <v>5000</v>
      </c>
      <c r="W78" s="32">
        <v>5000</v>
      </c>
      <c r="X78" s="32">
        <v>5000</v>
      </c>
      <c r="Y78" s="32">
        <v>5000</v>
      </c>
      <c r="Z78" s="32">
        <v>5000</v>
      </c>
      <c r="AA78" s="33">
        <v>7000</v>
      </c>
      <c r="AB78" s="34">
        <v>0</v>
      </c>
      <c r="AC78" s="35">
        <v>9500</v>
      </c>
      <c r="AD78" s="36"/>
    </row>
    <row r="79" spans="1:30" ht="16.5" customHeight="1" x14ac:dyDescent="0.25">
      <c r="A79" s="19" t="s">
        <v>375</v>
      </c>
      <c r="B79" s="19" t="s">
        <v>376</v>
      </c>
      <c r="C79" s="19" t="s">
        <v>377</v>
      </c>
      <c r="D79" s="19" t="s">
        <v>112</v>
      </c>
      <c r="E79" s="20" t="s">
        <v>34</v>
      </c>
      <c r="F79" s="21">
        <v>2</v>
      </c>
      <c r="G79" s="22" t="s">
        <v>378</v>
      </c>
      <c r="H79" s="23">
        <v>4500</v>
      </c>
      <c r="I79" s="24">
        <v>75000</v>
      </c>
      <c r="J79" s="23">
        <v>73000</v>
      </c>
      <c r="K79" s="25">
        <f t="shared" si="6"/>
        <v>2000</v>
      </c>
      <c r="L79" s="26">
        <f t="shared" si="7"/>
        <v>0.44444444444444442</v>
      </c>
      <c r="M79" s="27">
        <v>0</v>
      </c>
      <c r="N79" s="28">
        <f t="shared" si="8"/>
        <v>75000</v>
      </c>
      <c r="O79" s="29">
        <f t="shared" si="9"/>
        <v>75000</v>
      </c>
      <c r="P79" s="29">
        <f t="shared" si="10"/>
        <v>75000</v>
      </c>
      <c r="Q79" s="30" t="e" cm="1">
        <f t="array" aca="1" ref="Q79" ca="1">spellNumber(P79)</f>
        <v>#NAME?</v>
      </c>
      <c r="R79" s="31">
        <f t="shared" si="11"/>
        <v>75200</v>
      </c>
      <c r="S79" s="32">
        <v>50000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32">
        <v>0</v>
      </c>
      <c r="Z79" s="32">
        <v>0</v>
      </c>
      <c r="AA79" s="33">
        <v>0</v>
      </c>
      <c r="AB79" s="34">
        <v>0</v>
      </c>
      <c r="AC79" s="35">
        <v>0</v>
      </c>
      <c r="AD79" s="36"/>
    </row>
    <row r="80" spans="1:30" ht="16.5" customHeight="1" x14ac:dyDescent="0.25">
      <c r="A80" s="19" t="s">
        <v>379</v>
      </c>
      <c r="B80" s="19" t="s">
        <v>380</v>
      </c>
      <c r="C80" s="19" t="s">
        <v>381</v>
      </c>
      <c r="D80" s="19" t="s">
        <v>382</v>
      </c>
      <c r="E80" s="20" t="s">
        <v>34</v>
      </c>
      <c r="F80" s="21">
        <v>3</v>
      </c>
      <c r="G80" s="22" t="s">
        <v>383</v>
      </c>
      <c r="H80" s="23">
        <v>7000</v>
      </c>
      <c r="I80" s="24">
        <v>7000</v>
      </c>
      <c r="J80" s="23">
        <v>0</v>
      </c>
      <c r="K80" s="25">
        <f t="shared" si="6"/>
        <v>7000</v>
      </c>
      <c r="L80" s="26">
        <f t="shared" si="7"/>
        <v>1</v>
      </c>
      <c r="M80" s="27">
        <v>0</v>
      </c>
      <c r="N80" s="28">
        <f t="shared" si="8"/>
        <v>7000</v>
      </c>
      <c r="O80" s="29">
        <f t="shared" si="9"/>
        <v>7000</v>
      </c>
      <c r="P80" s="29">
        <f t="shared" si="10"/>
        <v>7000</v>
      </c>
      <c r="Q80" s="30" t="e" cm="1">
        <f t="array" aca="1" ref="Q80" ca="1">spellNumber(P80)</f>
        <v>#NAME?</v>
      </c>
      <c r="R80" s="31">
        <f t="shared" si="11"/>
        <v>7200</v>
      </c>
      <c r="S80" s="32">
        <v>14000</v>
      </c>
      <c r="T80" s="32">
        <v>7000</v>
      </c>
      <c r="U80" s="32">
        <v>9500</v>
      </c>
      <c r="V80" s="32">
        <v>7000</v>
      </c>
      <c r="W80" s="32">
        <v>7000</v>
      </c>
      <c r="X80" s="32">
        <v>7000</v>
      </c>
      <c r="Y80" s="32">
        <v>7000</v>
      </c>
      <c r="Z80" s="32">
        <v>7000</v>
      </c>
      <c r="AA80" s="33">
        <v>7000</v>
      </c>
      <c r="AB80" s="34">
        <v>7000</v>
      </c>
      <c r="AC80" s="35">
        <v>7000</v>
      </c>
      <c r="AD80" s="36"/>
    </row>
    <row r="81" spans="1:30" ht="16.5" customHeight="1" x14ac:dyDescent="0.25">
      <c r="A81" s="19" t="s">
        <v>384</v>
      </c>
      <c r="B81" s="19" t="s">
        <v>385</v>
      </c>
      <c r="C81" s="19" t="s">
        <v>386</v>
      </c>
      <c r="D81" s="19" t="s">
        <v>387</v>
      </c>
      <c r="E81" s="20" t="s">
        <v>34</v>
      </c>
      <c r="F81" s="21">
        <v>2</v>
      </c>
      <c r="G81" s="22" t="s">
        <v>388</v>
      </c>
      <c r="H81" s="23">
        <v>4400</v>
      </c>
      <c r="I81" s="24">
        <v>4400</v>
      </c>
      <c r="J81" s="23">
        <v>4400</v>
      </c>
      <c r="K81" s="25">
        <f t="shared" si="6"/>
        <v>0</v>
      </c>
      <c r="L81" s="26">
        <f t="shared" si="7"/>
        <v>0</v>
      </c>
      <c r="M81" s="27">
        <v>0</v>
      </c>
      <c r="N81" s="28">
        <f t="shared" si="8"/>
        <v>4400</v>
      </c>
      <c r="O81" s="29">
        <f t="shared" si="9"/>
        <v>4400</v>
      </c>
      <c r="P81" s="29">
        <f t="shared" si="10"/>
        <v>4400</v>
      </c>
      <c r="Q81" s="30" t="e" cm="1">
        <f t="array" aca="1" ref="Q81" ca="1">spellNumber(P81)</f>
        <v>#NAME?</v>
      </c>
      <c r="R81" s="31">
        <f t="shared" si="11"/>
        <v>4600</v>
      </c>
      <c r="S81" s="32">
        <v>4700</v>
      </c>
      <c r="T81" s="32">
        <v>4700</v>
      </c>
      <c r="U81" s="32">
        <v>3800</v>
      </c>
      <c r="V81" s="32">
        <v>4400</v>
      </c>
      <c r="W81" s="32">
        <v>4400</v>
      </c>
      <c r="X81" s="32">
        <v>4400</v>
      </c>
      <c r="Y81" s="32">
        <v>4400</v>
      </c>
      <c r="Z81" s="32">
        <v>4400</v>
      </c>
      <c r="AA81" s="33">
        <v>4400</v>
      </c>
      <c r="AB81" s="34">
        <v>0</v>
      </c>
      <c r="AC81" s="35">
        <v>4400</v>
      </c>
      <c r="AD81" s="36"/>
    </row>
    <row r="82" spans="1:30" ht="16.5" customHeight="1" x14ac:dyDescent="0.25">
      <c r="A82" s="19" t="s">
        <v>389</v>
      </c>
      <c r="B82" s="19" t="s">
        <v>390</v>
      </c>
      <c r="C82" s="19" t="s">
        <v>391</v>
      </c>
      <c r="D82" s="19" t="s">
        <v>392</v>
      </c>
      <c r="E82" s="20" t="s">
        <v>34</v>
      </c>
      <c r="F82" s="21">
        <v>3</v>
      </c>
      <c r="G82" s="22" t="s">
        <v>393</v>
      </c>
      <c r="H82" s="23">
        <v>5500</v>
      </c>
      <c r="I82" s="24">
        <v>6446</v>
      </c>
      <c r="J82" s="23">
        <v>6446</v>
      </c>
      <c r="K82" s="25">
        <f t="shared" si="6"/>
        <v>0</v>
      </c>
      <c r="L82" s="26">
        <f t="shared" si="7"/>
        <v>0</v>
      </c>
      <c r="M82" s="27">
        <v>0</v>
      </c>
      <c r="N82" s="28">
        <f t="shared" si="8"/>
        <v>6446</v>
      </c>
      <c r="O82" s="29">
        <f t="shared" si="9"/>
        <v>6446</v>
      </c>
      <c r="P82" s="29">
        <f t="shared" si="10"/>
        <v>6400</v>
      </c>
      <c r="Q82" s="30" t="e" cm="1">
        <f t="array" aca="1" ref="Q82" ca="1">spellNumber(P82)</f>
        <v>#NAME?</v>
      </c>
      <c r="R82" s="31">
        <f t="shared" si="11"/>
        <v>6600</v>
      </c>
      <c r="S82" s="32">
        <v>0</v>
      </c>
      <c r="T82" s="32">
        <v>10000</v>
      </c>
      <c r="U82" s="32">
        <v>10000</v>
      </c>
      <c r="V82" s="32">
        <v>10000</v>
      </c>
      <c r="W82" s="32">
        <v>6000</v>
      </c>
      <c r="X82" s="32">
        <v>6000</v>
      </c>
      <c r="Y82" s="32">
        <v>6417</v>
      </c>
      <c r="Z82" s="32">
        <v>6417</v>
      </c>
      <c r="AA82" s="33">
        <v>6420</v>
      </c>
      <c r="AB82" s="34">
        <v>6400</v>
      </c>
      <c r="AC82" s="35">
        <v>6400</v>
      </c>
      <c r="AD82" s="36"/>
    </row>
    <row r="83" spans="1:30" ht="16.5" customHeight="1" x14ac:dyDescent="0.25">
      <c r="A83" s="19" t="s">
        <v>394</v>
      </c>
      <c r="B83" s="19" t="s">
        <v>395</v>
      </c>
      <c r="C83" s="19" t="s">
        <v>396</v>
      </c>
      <c r="D83" s="19" t="s">
        <v>397</v>
      </c>
      <c r="E83" s="20" t="s">
        <v>40</v>
      </c>
      <c r="F83" s="21">
        <v>3</v>
      </c>
      <c r="G83" s="22" t="s">
        <v>398</v>
      </c>
      <c r="H83" s="23">
        <v>7800</v>
      </c>
      <c r="I83" s="24">
        <v>13054</v>
      </c>
      <c r="J83" s="23">
        <v>13100</v>
      </c>
      <c r="K83" s="25">
        <f t="shared" si="6"/>
        <v>-46</v>
      </c>
      <c r="L83" s="26">
        <f t="shared" si="7"/>
        <v>-5.8974358974358976E-3</v>
      </c>
      <c r="M83" s="27">
        <v>0</v>
      </c>
      <c r="N83" s="28">
        <f t="shared" si="8"/>
        <v>13054</v>
      </c>
      <c r="O83" s="29">
        <f t="shared" si="9"/>
        <v>13054</v>
      </c>
      <c r="P83" s="29">
        <f t="shared" si="10"/>
        <v>13100</v>
      </c>
      <c r="Q83" s="30" t="e" cm="1">
        <f t="array" aca="1" ref="Q83" ca="1">spellNumber(P83)</f>
        <v>#NAME?</v>
      </c>
      <c r="R83" s="31">
        <f t="shared" si="11"/>
        <v>13300</v>
      </c>
      <c r="S83" s="32">
        <v>15000</v>
      </c>
      <c r="T83" s="32">
        <v>0</v>
      </c>
      <c r="U83" s="32">
        <v>15000</v>
      </c>
      <c r="V83" s="32">
        <v>0</v>
      </c>
      <c r="W83" s="32">
        <v>15000</v>
      </c>
      <c r="X83" s="32">
        <v>10000</v>
      </c>
      <c r="Y83" s="32">
        <v>8683</v>
      </c>
      <c r="Z83" s="32">
        <v>8663</v>
      </c>
      <c r="AA83" s="33">
        <v>8700</v>
      </c>
      <c r="AB83" s="34">
        <v>0</v>
      </c>
      <c r="AC83" s="35">
        <v>13000</v>
      </c>
      <c r="AD83" s="36"/>
    </row>
    <row r="84" spans="1:30" ht="16.5" customHeight="1" x14ac:dyDescent="0.25">
      <c r="A84" s="19" t="s">
        <v>399</v>
      </c>
      <c r="B84" s="19" t="s">
        <v>400</v>
      </c>
      <c r="C84" s="19" t="s">
        <v>401</v>
      </c>
      <c r="D84" s="19" t="s">
        <v>392</v>
      </c>
      <c r="E84" s="20" t="s">
        <v>40</v>
      </c>
      <c r="F84" s="21">
        <v>3</v>
      </c>
      <c r="G84" s="22" t="s">
        <v>402</v>
      </c>
      <c r="H84" s="23">
        <v>5000</v>
      </c>
      <c r="I84" s="24">
        <v>9500</v>
      </c>
      <c r="J84" s="23">
        <v>7000</v>
      </c>
      <c r="K84" s="25">
        <f t="shared" si="6"/>
        <v>2500</v>
      </c>
      <c r="L84" s="26">
        <f t="shared" si="7"/>
        <v>0.5</v>
      </c>
      <c r="M84" s="27">
        <v>0</v>
      </c>
      <c r="N84" s="28">
        <f t="shared" si="8"/>
        <v>9500</v>
      </c>
      <c r="O84" s="29">
        <f t="shared" si="9"/>
        <v>9500</v>
      </c>
      <c r="P84" s="29">
        <f t="shared" si="10"/>
        <v>9500</v>
      </c>
      <c r="Q84" s="30" t="e" cm="1">
        <f t="array" aca="1" ref="Q84" ca="1">spellNumber(P84)</f>
        <v>#NAME?</v>
      </c>
      <c r="R84" s="31">
        <f t="shared" si="11"/>
        <v>9700</v>
      </c>
      <c r="S84" s="32">
        <v>13000</v>
      </c>
      <c r="T84" s="32">
        <v>10000</v>
      </c>
      <c r="U84" s="32">
        <v>5000</v>
      </c>
      <c r="V84" s="32">
        <v>6000</v>
      </c>
      <c r="W84" s="32">
        <v>5000</v>
      </c>
      <c r="X84" s="32">
        <v>5500</v>
      </c>
      <c r="Y84" s="32">
        <v>5000</v>
      </c>
      <c r="Z84" s="32">
        <v>5400</v>
      </c>
      <c r="AA84" s="33">
        <v>6000</v>
      </c>
      <c r="AB84" s="34">
        <v>0</v>
      </c>
      <c r="AC84" s="35">
        <v>9500</v>
      </c>
      <c r="AD84" s="36"/>
    </row>
    <row r="85" spans="1:30" ht="16.5" customHeight="1" x14ac:dyDescent="0.25">
      <c r="A85" s="19" t="s">
        <v>403</v>
      </c>
      <c r="B85" s="19" t="s">
        <v>404</v>
      </c>
      <c r="C85" s="19" t="s">
        <v>405</v>
      </c>
      <c r="D85" s="19" t="s">
        <v>406</v>
      </c>
      <c r="E85" s="20" t="s">
        <v>40</v>
      </c>
      <c r="F85" s="21">
        <v>3</v>
      </c>
      <c r="G85" s="22" t="s">
        <v>186</v>
      </c>
      <c r="H85" s="23">
        <v>7000</v>
      </c>
      <c r="I85" s="24">
        <v>6900</v>
      </c>
      <c r="J85" s="23">
        <v>6900</v>
      </c>
      <c r="K85" s="25">
        <f t="shared" si="6"/>
        <v>0</v>
      </c>
      <c r="L85" s="26">
        <f t="shared" si="7"/>
        <v>0</v>
      </c>
      <c r="M85" s="27">
        <v>0</v>
      </c>
      <c r="N85" s="28">
        <f t="shared" si="8"/>
        <v>6900</v>
      </c>
      <c r="O85" s="29">
        <f t="shared" si="9"/>
        <v>6900</v>
      </c>
      <c r="P85" s="29">
        <f t="shared" si="10"/>
        <v>6900</v>
      </c>
      <c r="Q85" s="30" t="e" cm="1">
        <f t="array" aca="1" ref="Q85" ca="1">spellNumber(P85)</f>
        <v>#NAME?</v>
      </c>
      <c r="R85" s="31">
        <f t="shared" si="11"/>
        <v>7100</v>
      </c>
      <c r="S85" s="32">
        <v>13000</v>
      </c>
      <c r="T85" s="32">
        <v>0</v>
      </c>
      <c r="U85" s="32">
        <v>7000</v>
      </c>
      <c r="V85" s="32">
        <v>14000</v>
      </c>
      <c r="W85" s="32">
        <v>0</v>
      </c>
      <c r="X85" s="32">
        <v>7000</v>
      </c>
      <c r="Y85" s="32">
        <v>14000</v>
      </c>
      <c r="Z85" s="32">
        <v>7000</v>
      </c>
      <c r="AA85" s="33">
        <v>7200</v>
      </c>
      <c r="AB85" s="34">
        <v>6900</v>
      </c>
      <c r="AC85" s="35">
        <v>7000</v>
      </c>
      <c r="AD85" s="36"/>
    </row>
    <row r="86" spans="1:30" ht="16.5" customHeight="1" x14ac:dyDescent="0.25">
      <c r="A86" s="19" t="s">
        <v>407</v>
      </c>
      <c r="B86" s="19" t="s">
        <v>408</v>
      </c>
      <c r="C86" s="19" t="s">
        <v>409</v>
      </c>
      <c r="D86" s="19" t="s">
        <v>410</v>
      </c>
      <c r="E86" s="20" t="s">
        <v>40</v>
      </c>
      <c r="F86" s="21">
        <v>4</v>
      </c>
      <c r="G86" s="22" t="s">
        <v>411</v>
      </c>
      <c r="H86" s="23">
        <v>8500</v>
      </c>
      <c r="I86" s="24">
        <v>17000</v>
      </c>
      <c r="J86" s="23">
        <v>8500</v>
      </c>
      <c r="K86" s="25">
        <f t="shared" si="6"/>
        <v>8500</v>
      </c>
      <c r="L86" s="26">
        <f t="shared" si="7"/>
        <v>1</v>
      </c>
      <c r="M86" s="27">
        <v>0</v>
      </c>
      <c r="N86" s="28">
        <f t="shared" si="8"/>
        <v>17000</v>
      </c>
      <c r="O86" s="29">
        <f t="shared" si="9"/>
        <v>17000</v>
      </c>
      <c r="P86" s="29">
        <f t="shared" si="10"/>
        <v>17000</v>
      </c>
      <c r="Q86" s="30" t="e" cm="1">
        <f t="array" aca="1" ref="Q86" ca="1">spellNumber(P86)</f>
        <v>#NAME?</v>
      </c>
      <c r="R86" s="31">
        <f t="shared" si="11"/>
        <v>17200</v>
      </c>
      <c r="S86" s="32">
        <v>15500</v>
      </c>
      <c r="T86" s="32">
        <v>8500</v>
      </c>
      <c r="U86" s="32">
        <v>8500</v>
      </c>
      <c r="V86" s="32">
        <v>8500</v>
      </c>
      <c r="W86" s="32">
        <v>8500</v>
      </c>
      <c r="X86" s="32">
        <v>8500</v>
      </c>
      <c r="Y86" s="32">
        <v>8500</v>
      </c>
      <c r="Z86" s="32">
        <v>8500</v>
      </c>
      <c r="AA86" s="33">
        <v>8500</v>
      </c>
      <c r="AB86" s="34">
        <v>8500</v>
      </c>
      <c r="AC86" s="35">
        <v>8500</v>
      </c>
      <c r="AD86" s="36"/>
    </row>
    <row r="87" spans="1:30" ht="16.5" customHeight="1" x14ac:dyDescent="0.25">
      <c r="A87" s="19" t="s">
        <v>412</v>
      </c>
      <c r="B87" s="19" t="s">
        <v>413</v>
      </c>
      <c r="C87" s="19" t="s">
        <v>351</v>
      </c>
      <c r="D87" s="19" t="s">
        <v>414</v>
      </c>
      <c r="E87" s="20" t="s">
        <v>40</v>
      </c>
      <c r="F87" s="21">
        <v>4</v>
      </c>
      <c r="G87" s="22" t="s">
        <v>415</v>
      </c>
      <c r="H87" s="23">
        <v>8500</v>
      </c>
      <c r="I87" s="24">
        <v>10500</v>
      </c>
      <c r="J87" s="23">
        <v>0</v>
      </c>
      <c r="K87" s="25">
        <f t="shared" si="6"/>
        <v>10500</v>
      </c>
      <c r="L87" s="26">
        <f t="shared" si="7"/>
        <v>1.2352941176470589</v>
      </c>
      <c r="M87" s="27">
        <v>0</v>
      </c>
      <c r="N87" s="28">
        <f t="shared" si="8"/>
        <v>10500</v>
      </c>
      <c r="O87" s="29">
        <f t="shared" si="9"/>
        <v>10500</v>
      </c>
      <c r="P87" s="29">
        <f t="shared" si="10"/>
        <v>10500</v>
      </c>
      <c r="Q87" s="30" t="e" cm="1">
        <f t="array" aca="1" ref="Q87" ca="1">spellNumber(P87)</f>
        <v>#NAME?</v>
      </c>
      <c r="R87" s="31">
        <f t="shared" si="11"/>
        <v>10700</v>
      </c>
      <c r="S87" s="32">
        <v>8500</v>
      </c>
      <c r="T87" s="32">
        <v>0</v>
      </c>
      <c r="U87" s="32">
        <v>17000</v>
      </c>
      <c r="V87" s="32">
        <v>0</v>
      </c>
      <c r="W87" s="32">
        <v>17000</v>
      </c>
      <c r="X87" s="32">
        <v>8500</v>
      </c>
      <c r="Y87" s="32">
        <v>8500</v>
      </c>
      <c r="Z87" s="32">
        <v>0</v>
      </c>
      <c r="AA87" s="33">
        <v>19000</v>
      </c>
      <c r="AB87" s="34">
        <v>10500</v>
      </c>
      <c r="AC87" s="35">
        <v>10500</v>
      </c>
      <c r="AD87" s="36"/>
    </row>
    <row r="88" spans="1:30" ht="16.5" customHeight="1" x14ac:dyDescent="0.25">
      <c r="A88" s="19" t="s">
        <v>416</v>
      </c>
      <c r="B88" s="19" t="s">
        <v>417</v>
      </c>
      <c r="C88" s="19" t="s">
        <v>418</v>
      </c>
      <c r="D88" s="19" t="s">
        <v>419</v>
      </c>
      <c r="E88" s="20" t="s">
        <v>40</v>
      </c>
      <c r="F88" s="21">
        <v>5</v>
      </c>
      <c r="G88" s="22" t="s">
        <v>420</v>
      </c>
      <c r="H88" s="23">
        <v>6000</v>
      </c>
      <c r="I88" s="24">
        <v>65800</v>
      </c>
      <c r="J88" s="23">
        <v>0</v>
      </c>
      <c r="K88" s="25">
        <f t="shared" si="6"/>
        <v>65800</v>
      </c>
      <c r="L88" s="26">
        <f t="shared" si="7"/>
        <v>10.966666666666667</v>
      </c>
      <c r="M88" s="27">
        <v>0</v>
      </c>
      <c r="N88" s="28">
        <f t="shared" si="8"/>
        <v>65800</v>
      </c>
      <c r="O88" s="29">
        <f t="shared" si="9"/>
        <v>65800</v>
      </c>
      <c r="P88" s="29">
        <f t="shared" si="10"/>
        <v>65800</v>
      </c>
      <c r="Q88" s="30" t="e" cm="1">
        <f t="array" aca="1" ref="Q88" ca="1">spellNumber(P88)</f>
        <v>#NAME?</v>
      </c>
      <c r="R88" s="31">
        <f t="shared" si="11"/>
        <v>66000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30000</v>
      </c>
      <c r="Y88" s="32">
        <v>0</v>
      </c>
      <c r="Z88" s="32">
        <v>0</v>
      </c>
      <c r="AA88" s="33">
        <v>0</v>
      </c>
      <c r="AB88" s="34">
        <v>0</v>
      </c>
      <c r="AC88" s="35">
        <v>0</v>
      </c>
      <c r="AD88" s="36"/>
    </row>
    <row r="89" spans="1:30" ht="16.5" customHeight="1" x14ac:dyDescent="0.25">
      <c r="A89" s="19" t="s">
        <v>421</v>
      </c>
      <c r="B89" s="19" t="s">
        <v>422</v>
      </c>
      <c r="C89" s="19" t="s">
        <v>423</v>
      </c>
      <c r="D89" s="19" t="s">
        <v>424</v>
      </c>
      <c r="E89" s="20" t="s">
        <v>40</v>
      </c>
      <c r="F89" s="21">
        <v>5</v>
      </c>
      <c r="G89" s="22" t="s">
        <v>425</v>
      </c>
      <c r="H89" s="23">
        <v>8500</v>
      </c>
      <c r="I89" s="24">
        <v>10200</v>
      </c>
      <c r="J89" s="23">
        <v>10200</v>
      </c>
      <c r="K89" s="25">
        <f t="shared" si="6"/>
        <v>0</v>
      </c>
      <c r="L89" s="26">
        <f t="shared" si="7"/>
        <v>0</v>
      </c>
      <c r="M89" s="27">
        <v>0</v>
      </c>
      <c r="N89" s="28">
        <f t="shared" si="8"/>
        <v>10200</v>
      </c>
      <c r="O89" s="29">
        <f t="shared" si="9"/>
        <v>10200</v>
      </c>
      <c r="P89" s="29">
        <f t="shared" si="10"/>
        <v>10200</v>
      </c>
      <c r="Q89" s="30" t="e" cm="1">
        <f t="array" aca="1" ref="Q89" ca="1">spellNumber(P89)</f>
        <v>#NAME?</v>
      </c>
      <c r="R89" s="31">
        <f t="shared" si="11"/>
        <v>10400</v>
      </c>
      <c r="S89" s="32">
        <v>10000</v>
      </c>
      <c r="T89" s="32">
        <v>10000</v>
      </c>
      <c r="U89" s="32">
        <v>10000</v>
      </c>
      <c r="V89" s="32">
        <v>10000</v>
      </c>
      <c r="W89" s="32">
        <v>10000</v>
      </c>
      <c r="X89" s="32">
        <v>10000</v>
      </c>
      <c r="Y89" s="32">
        <v>10000</v>
      </c>
      <c r="Z89" s="32">
        <v>10200</v>
      </c>
      <c r="AA89" s="33">
        <v>10200</v>
      </c>
      <c r="AB89" s="34">
        <v>10200</v>
      </c>
      <c r="AC89" s="35">
        <v>10200</v>
      </c>
      <c r="AD89" s="36"/>
    </row>
    <row r="90" spans="1:30" ht="16.5" customHeight="1" x14ac:dyDescent="0.25">
      <c r="A90" s="19" t="s">
        <v>426</v>
      </c>
      <c r="B90" s="19" t="s">
        <v>427</v>
      </c>
      <c r="C90" s="19" t="s">
        <v>428</v>
      </c>
      <c r="D90" s="19" t="s">
        <v>429</v>
      </c>
      <c r="E90" s="20" t="s">
        <v>40</v>
      </c>
      <c r="F90" s="21">
        <v>2</v>
      </c>
      <c r="G90" s="22" t="s">
        <v>430</v>
      </c>
      <c r="H90" s="23">
        <v>3500</v>
      </c>
      <c r="I90" s="24">
        <v>11850</v>
      </c>
      <c r="J90" s="23">
        <v>5000</v>
      </c>
      <c r="K90" s="25">
        <f t="shared" si="6"/>
        <v>6850</v>
      </c>
      <c r="L90" s="26">
        <f t="shared" si="7"/>
        <v>1.9571428571428571</v>
      </c>
      <c r="M90" s="27">
        <v>0</v>
      </c>
      <c r="N90" s="28">
        <f t="shared" si="8"/>
        <v>11850</v>
      </c>
      <c r="O90" s="29">
        <f t="shared" si="9"/>
        <v>11850</v>
      </c>
      <c r="P90" s="29">
        <f t="shared" si="10"/>
        <v>11900</v>
      </c>
      <c r="Q90" s="30" t="e" cm="1">
        <f t="array" aca="1" ref="Q90" ca="1">spellNumber(P90)</f>
        <v>#NAME?</v>
      </c>
      <c r="R90" s="31">
        <f t="shared" si="11"/>
        <v>12100</v>
      </c>
      <c r="S90" s="32">
        <v>3500</v>
      </c>
      <c r="T90" s="32">
        <v>0</v>
      </c>
      <c r="U90" s="32">
        <v>6000</v>
      </c>
      <c r="V90" s="32">
        <v>4500</v>
      </c>
      <c r="W90" s="32">
        <v>0</v>
      </c>
      <c r="X90" s="32">
        <v>5000</v>
      </c>
      <c r="Y90" s="32">
        <v>4750</v>
      </c>
      <c r="Z90" s="32">
        <v>0</v>
      </c>
      <c r="AA90" s="33">
        <v>6000</v>
      </c>
      <c r="AB90" s="34">
        <v>6000</v>
      </c>
      <c r="AC90" s="35">
        <v>0</v>
      </c>
      <c r="AD90" s="36"/>
    </row>
    <row r="91" spans="1:30" ht="16.5" customHeight="1" x14ac:dyDescent="0.25">
      <c r="A91" s="19" t="s">
        <v>431</v>
      </c>
      <c r="B91" s="19" t="s">
        <v>432</v>
      </c>
      <c r="C91" s="19" t="s">
        <v>433</v>
      </c>
      <c r="D91" s="19" t="s">
        <v>434</v>
      </c>
      <c r="E91" s="20" t="s">
        <v>40</v>
      </c>
      <c r="F91" s="21">
        <v>1</v>
      </c>
      <c r="G91" s="22" t="s">
        <v>435</v>
      </c>
      <c r="H91" s="23">
        <v>0</v>
      </c>
      <c r="I91" s="24">
        <v>0</v>
      </c>
      <c r="J91" s="23">
        <v>0</v>
      </c>
      <c r="K91" s="25">
        <f t="shared" si="6"/>
        <v>0</v>
      </c>
      <c r="L91" s="26" t="e">
        <f t="shared" si="7"/>
        <v>#DIV/0!</v>
      </c>
      <c r="M91" s="27">
        <v>0</v>
      </c>
      <c r="N91" s="28">
        <f t="shared" si="8"/>
        <v>0</v>
      </c>
      <c r="O91" s="29">
        <f t="shared" si="9"/>
        <v>0</v>
      </c>
      <c r="P91" s="29">
        <f t="shared" si="10"/>
        <v>0</v>
      </c>
      <c r="Q91" s="30" t="e" cm="1">
        <f t="array" aca="1" ref="Q91" ca="1">spellNumber(P91)</f>
        <v>#NAME?</v>
      </c>
      <c r="R91" s="31">
        <f t="shared" si="11"/>
        <v>200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2">
        <v>5000</v>
      </c>
      <c r="Y91" s="32">
        <v>0</v>
      </c>
      <c r="Z91" s="32">
        <v>0</v>
      </c>
      <c r="AA91" s="33">
        <v>0</v>
      </c>
      <c r="AB91" s="34">
        <v>0</v>
      </c>
      <c r="AC91" s="35">
        <v>0</v>
      </c>
      <c r="AD91" s="36"/>
    </row>
    <row r="92" spans="1:30" ht="16.5" customHeight="1" x14ac:dyDescent="0.25">
      <c r="A92" s="19" t="s">
        <v>436</v>
      </c>
      <c r="B92" s="19" t="s">
        <v>437</v>
      </c>
      <c r="C92" s="19" t="s">
        <v>438</v>
      </c>
      <c r="D92" s="19" t="s">
        <v>439</v>
      </c>
      <c r="E92" s="20" t="s">
        <v>40</v>
      </c>
      <c r="F92" s="21">
        <v>3</v>
      </c>
      <c r="G92" s="22" t="s">
        <v>440</v>
      </c>
      <c r="H92" s="23">
        <v>7500</v>
      </c>
      <c r="I92" s="24">
        <v>9500</v>
      </c>
      <c r="J92" s="23">
        <v>7500</v>
      </c>
      <c r="K92" s="25">
        <f t="shared" si="6"/>
        <v>2000</v>
      </c>
      <c r="L92" s="26">
        <f t="shared" si="7"/>
        <v>0.26666666666666666</v>
      </c>
      <c r="M92" s="27">
        <v>0</v>
      </c>
      <c r="N92" s="28">
        <f t="shared" si="8"/>
        <v>9500</v>
      </c>
      <c r="O92" s="29">
        <f t="shared" si="9"/>
        <v>9500</v>
      </c>
      <c r="P92" s="29">
        <f t="shared" si="10"/>
        <v>9500</v>
      </c>
      <c r="Q92" s="30" t="e" cm="1">
        <f t="array" aca="1" ref="Q92" ca="1">spellNumber(P92)</f>
        <v>#NAME?</v>
      </c>
      <c r="R92" s="31">
        <f t="shared" si="11"/>
        <v>9700</v>
      </c>
      <c r="S92" s="32">
        <v>19000</v>
      </c>
      <c r="T92" s="32">
        <v>0</v>
      </c>
      <c r="U92" s="32">
        <v>10000</v>
      </c>
      <c r="V92" s="32">
        <v>10500</v>
      </c>
      <c r="W92" s="32">
        <v>7500</v>
      </c>
      <c r="X92" s="32">
        <v>7500</v>
      </c>
      <c r="Y92" s="32">
        <v>7500</v>
      </c>
      <c r="Z92" s="32">
        <v>7500</v>
      </c>
      <c r="AA92" s="33">
        <v>7500</v>
      </c>
      <c r="AB92" s="34">
        <v>7500</v>
      </c>
      <c r="AC92" s="35">
        <v>7500</v>
      </c>
      <c r="AD92" s="36"/>
    </row>
    <row r="93" spans="1:30" ht="16.5" customHeight="1" x14ac:dyDescent="0.25">
      <c r="A93" s="19" t="s">
        <v>441</v>
      </c>
      <c r="B93" s="19" t="s">
        <v>442</v>
      </c>
      <c r="C93" s="19" t="s">
        <v>193</v>
      </c>
      <c r="D93" s="19" t="s">
        <v>282</v>
      </c>
      <c r="E93" s="20" t="s">
        <v>34</v>
      </c>
      <c r="F93" s="21">
        <v>1</v>
      </c>
      <c r="G93" s="22" t="s">
        <v>443</v>
      </c>
      <c r="H93" s="23">
        <v>3000</v>
      </c>
      <c r="I93" s="24">
        <v>3000</v>
      </c>
      <c r="J93" s="23">
        <v>3000</v>
      </c>
      <c r="K93" s="25">
        <f t="shared" si="6"/>
        <v>0</v>
      </c>
      <c r="L93" s="26">
        <f t="shared" si="7"/>
        <v>0</v>
      </c>
      <c r="M93" s="27">
        <v>0</v>
      </c>
      <c r="N93" s="28">
        <f t="shared" si="8"/>
        <v>3000</v>
      </c>
      <c r="O93" s="29">
        <f t="shared" si="9"/>
        <v>3000</v>
      </c>
      <c r="P93" s="29">
        <f t="shared" si="10"/>
        <v>3000</v>
      </c>
      <c r="Q93" s="30" t="e" cm="1">
        <f t="array" aca="1" ref="Q93" ca="1">spellNumber(P93)</f>
        <v>#NAME?</v>
      </c>
      <c r="R93" s="31">
        <f t="shared" si="11"/>
        <v>3200</v>
      </c>
      <c r="S93" s="32">
        <v>8000</v>
      </c>
      <c r="T93" s="32">
        <v>3000</v>
      </c>
      <c r="U93" s="32">
        <v>3000</v>
      </c>
      <c r="V93" s="32">
        <v>3000</v>
      </c>
      <c r="W93" s="32">
        <v>3000</v>
      </c>
      <c r="X93" s="32">
        <v>3000</v>
      </c>
      <c r="Y93" s="32">
        <v>3000</v>
      </c>
      <c r="Z93" s="32">
        <v>3000</v>
      </c>
      <c r="AA93" s="33">
        <v>3000</v>
      </c>
      <c r="AB93" s="34">
        <v>3000</v>
      </c>
      <c r="AC93" s="35">
        <v>3000</v>
      </c>
      <c r="AD93" s="36"/>
    </row>
    <row r="94" spans="1:30" ht="16.5" customHeight="1" x14ac:dyDescent="0.25">
      <c r="A94" s="19" t="s">
        <v>444</v>
      </c>
      <c r="B94" s="19" t="s">
        <v>445</v>
      </c>
      <c r="C94" s="19" t="s">
        <v>446</v>
      </c>
      <c r="D94" s="19" t="s">
        <v>447</v>
      </c>
      <c r="E94" s="20" t="s">
        <v>34</v>
      </c>
      <c r="F94" s="21">
        <v>3</v>
      </c>
      <c r="G94" s="22" t="s">
        <v>448</v>
      </c>
      <c r="H94" s="23">
        <v>5500</v>
      </c>
      <c r="I94" s="24">
        <v>15600</v>
      </c>
      <c r="J94" s="23">
        <v>0</v>
      </c>
      <c r="K94" s="25">
        <f t="shared" si="6"/>
        <v>15600</v>
      </c>
      <c r="L94" s="26">
        <f t="shared" si="7"/>
        <v>2.8363636363636364</v>
      </c>
      <c r="M94" s="27">
        <v>0</v>
      </c>
      <c r="N94" s="28">
        <f t="shared" si="8"/>
        <v>15600</v>
      </c>
      <c r="O94" s="29">
        <f t="shared" si="9"/>
        <v>15600</v>
      </c>
      <c r="P94" s="29">
        <f t="shared" si="10"/>
        <v>15600</v>
      </c>
      <c r="Q94" s="30" t="e" cm="1">
        <f t="array" aca="1" ref="Q94" ca="1">spellNumber(P94)</f>
        <v>#NAME?</v>
      </c>
      <c r="R94" s="31">
        <f t="shared" si="11"/>
        <v>15800</v>
      </c>
      <c r="S94" s="32">
        <v>13500</v>
      </c>
      <c r="T94" s="32">
        <v>10000</v>
      </c>
      <c r="U94" s="32">
        <v>10000</v>
      </c>
      <c r="V94" s="32">
        <v>0</v>
      </c>
      <c r="W94" s="32">
        <v>0</v>
      </c>
      <c r="X94" s="32">
        <v>0</v>
      </c>
      <c r="Y94" s="32">
        <v>15000</v>
      </c>
      <c r="Z94" s="32">
        <v>7800</v>
      </c>
      <c r="AA94" s="33">
        <v>7800</v>
      </c>
      <c r="AB94" s="34">
        <v>7800</v>
      </c>
      <c r="AC94" s="35">
        <v>0</v>
      </c>
      <c r="AD94" s="36"/>
    </row>
    <row r="95" spans="1:30" ht="16.5" customHeight="1" x14ac:dyDescent="0.25">
      <c r="A95" s="19" t="s">
        <v>449</v>
      </c>
      <c r="B95" s="19" t="s">
        <v>450</v>
      </c>
      <c r="C95" s="19" t="s">
        <v>451</v>
      </c>
      <c r="D95" s="19" t="s">
        <v>282</v>
      </c>
      <c r="E95" s="20" t="s">
        <v>40</v>
      </c>
      <c r="F95" s="21">
        <v>1</v>
      </c>
      <c r="G95" s="22" t="s">
        <v>452</v>
      </c>
      <c r="H95" s="23">
        <v>2700</v>
      </c>
      <c r="I95" s="24">
        <v>7600</v>
      </c>
      <c r="J95" s="23">
        <v>0</v>
      </c>
      <c r="K95" s="25">
        <f t="shared" si="6"/>
        <v>7600</v>
      </c>
      <c r="L95" s="26">
        <f t="shared" si="7"/>
        <v>2.8148148148148149</v>
      </c>
      <c r="M95" s="27">
        <v>0</v>
      </c>
      <c r="N95" s="28">
        <f t="shared" si="8"/>
        <v>7600</v>
      </c>
      <c r="O95" s="29">
        <f t="shared" si="9"/>
        <v>7600</v>
      </c>
      <c r="P95" s="29">
        <f t="shared" si="10"/>
        <v>7600</v>
      </c>
      <c r="Q95" s="30" t="e" cm="1">
        <f t="array" aca="1" ref="Q95" ca="1">spellNumber(P95)</f>
        <v>#NAME?</v>
      </c>
      <c r="R95" s="31">
        <f t="shared" si="11"/>
        <v>7800</v>
      </c>
      <c r="S95" s="32">
        <v>11200</v>
      </c>
      <c r="T95" s="32">
        <v>2700</v>
      </c>
      <c r="U95" s="32">
        <v>2700</v>
      </c>
      <c r="V95" s="32">
        <v>0</v>
      </c>
      <c r="W95" s="32">
        <v>3000</v>
      </c>
      <c r="X95" s="32">
        <v>3000</v>
      </c>
      <c r="Y95" s="32">
        <v>3000</v>
      </c>
      <c r="Z95" s="32">
        <v>0</v>
      </c>
      <c r="AA95" s="33">
        <v>0</v>
      </c>
      <c r="AB95" s="34">
        <v>0</v>
      </c>
      <c r="AC95" s="35">
        <v>7700</v>
      </c>
      <c r="AD95" s="36"/>
    </row>
    <row r="96" spans="1:30" ht="16.5" customHeight="1" x14ac:dyDescent="0.25">
      <c r="A96" s="19" t="s">
        <v>453</v>
      </c>
      <c r="B96" s="19" t="s">
        <v>454</v>
      </c>
      <c r="C96" s="19" t="s">
        <v>455</v>
      </c>
      <c r="D96" s="19" t="s">
        <v>456</v>
      </c>
      <c r="E96" s="20" t="s">
        <v>40</v>
      </c>
      <c r="F96" s="21">
        <v>4</v>
      </c>
      <c r="G96" s="22" t="s">
        <v>457</v>
      </c>
      <c r="H96" s="23">
        <v>8500</v>
      </c>
      <c r="I96" s="24">
        <v>28300</v>
      </c>
      <c r="J96" s="23">
        <v>0</v>
      </c>
      <c r="K96" s="25">
        <f t="shared" si="6"/>
        <v>28300</v>
      </c>
      <c r="L96" s="26">
        <f t="shared" si="7"/>
        <v>3.3294117647058825</v>
      </c>
      <c r="M96" s="27">
        <v>0</v>
      </c>
      <c r="N96" s="28">
        <f t="shared" si="8"/>
        <v>28300</v>
      </c>
      <c r="O96" s="29">
        <f t="shared" si="9"/>
        <v>28300</v>
      </c>
      <c r="P96" s="29">
        <f t="shared" si="10"/>
        <v>28300</v>
      </c>
      <c r="Q96" s="30" t="e" cm="1">
        <f t="array" aca="1" ref="Q96" ca="1">spellNumber(P96)</f>
        <v>#NAME?</v>
      </c>
      <c r="R96" s="31">
        <f t="shared" si="11"/>
        <v>28500</v>
      </c>
      <c r="S96" s="32">
        <v>14000</v>
      </c>
      <c r="T96" s="32">
        <v>12300</v>
      </c>
      <c r="U96" s="32">
        <v>10000</v>
      </c>
      <c r="V96" s="32">
        <v>0</v>
      </c>
      <c r="W96" s="32">
        <v>12000</v>
      </c>
      <c r="X96" s="32">
        <v>10000</v>
      </c>
      <c r="Y96" s="32">
        <v>10000</v>
      </c>
      <c r="Z96" s="32">
        <v>0</v>
      </c>
      <c r="AA96" s="33">
        <v>0</v>
      </c>
      <c r="AB96" s="34">
        <v>0</v>
      </c>
      <c r="AC96" s="35">
        <v>28400</v>
      </c>
      <c r="AD96" s="36"/>
    </row>
    <row r="97" spans="1:30" ht="16.5" customHeight="1" x14ac:dyDescent="0.25">
      <c r="A97" s="19" t="s">
        <v>458</v>
      </c>
      <c r="B97" s="19" t="s">
        <v>459</v>
      </c>
      <c r="C97" s="19" t="s">
        <v>460</v>
      </c>
      <c r="D97" s="19" t="s">
        <v>54</v>
      </c>
      <c r="E97" s="20" t="s">
        <v>34</v>
      </c>
      <c r="F97" s="21">
        <v>1</v>
      </c>
      <c r="G97" s="22" t="s">
        <v>461</v>
      </c>
      <c r="H97" s="23">
        <v>2500</v>
      </c>
      <c r="I97" s="24">
        <v>10300</v>
      </c>
      <c r="J97" s="23">
        <v>5000</v>
      </c>
      <c r="K97" s="25">
        <f t="shared" si="6"/>
        <v>5300</v>
      </c>
      <c r="L97" s="26">
        <f t="shared" si="7"/>
        <v>2.12</v>
      </c>
      <c r="M97" s="27">
        <v>0</v>
      </c>
      <c r="N97" s="28">
        <f t="shared" si="8"/>
        <v>10300</v>
      </c>
      <c r="O97" s="29">
        <f t="shared" si="9"/>
        <v>10300</v>
      </c>
      <c r="P97" s="29">
        <f t="shared" si="10"/>
        <v>10300</v>
      </c>
      <c r="Q97" s="30" t="e" cm="1">
        <f t="array" aca="1" ref="Q97" ca="1">spellNumber(P97)</f>
        <v>#NAME?</v>
      </c>
      <c r="R97" s="31">
        <f t="shared" si="11"/>
        <v>10500</v>
      </c>
      <c r="S97" s="32">
        <v>0</v>
      </c>
      <c r="T97" s="32">
        <v>0</v>
      </c>
      <c r="U97" s="32">
        <v>10000</v>
      </c>
      <c r="V97" s="32">
        <v>3500</v>
      </c>
      <c r="W97" s="32">
        <v>0</v>
      </c>
      <c r="X97" s="32">
        <v>0</v>
      </c>
      <c r="Y97" s="32">
        <v>6000</v>
      </c>
      <c r="Z97" s="32">
        <v>5000</v>
      </c>
      <c r="AA97" s="33">
        <v>0</v>
      </c>
      <c r="AB97" s="34">
        <v>0</v>
      </c>
      <c r="AC97" s="35">
        <v>5000</v>
      </c>
      <c r="AD97" s="36"/>
    </row>
    <row r="98" spans="1:30" ht="16.5" customHeight="1" x14ac:dyDescent="0.25">
      <c r="A98" s="19" t="s">
        <v>462</v>
      </c>
      <c r="B98" s="19" t="s">
        <v>289</v>
      </c>
      <c r="C98" s="19" t="s">
        <v>463</v>
      </c>
      <c r="D98" s="19" t="s">
        <v>54</v>
      </c>
      <c r="E98" s="20" t="s">
        <v>34</v>
      </c>
      <c r="F98" s="21">
        <v>1</v>
      </c>
      <c r="G98" s="22" t="s">
        <v>464</v>
      </c>
      <c r="H98" s="23">
        <v>2600</v>
      </c>
      <c r="I98" s="24">
        <v>18700</v>
      </c>
      <c r="J98" s="23">
        <v>0</v>
      </c>
      <c r="K98" s="25">
        <f t="shared" si="6"/>
        <v>18700</v>
      </c>
      <c r="L98" s="26">
        <f t="shared" si="7"/>
        <v>7.1923076923076925</v>
      </c>
      <c r="M98" s="27">
        <v>0</v>
      </c>
      <c r="N98" s="28">
        <f t="shared" si="8"/>
        <v>18700</v>
      </c>
      <c r="O98" s="29">
        <f t="shared" si="9"/>
        <v>18700</v>
      </c>
      <c r="P98" s="29">
        <f t="shared" si="10"/>
        <v>18700</v>
      </c>
      <c r="Q98" s="30" t="e" cm="1">
        <f t="array" aca="1" ref="Q98" ca="1">spellNumber(P98)</f>
        <v>#NAME?</v>
      </c>
      <c r="R98" s="31">
        <f t="shared" si="11"/>
        <v>18900</v>
      </c>
      <c r="S98" s="32">
        <v>16600</v>
      </c>
      <c r="T98" s="32">
        <v>0</v>
      </c>
      <c r="U98" s="32">
        <v>0</v>
      </c>
      <c r="V98" s="32">
        <v>0</v>
      </c>
      <c r="W98" s="32">
        <v>0</v>
      </c>
      <c r="X98" s="32">
        <v>0</v>
      </c>
      <c r="Y98" s="32">
        <v>0</v>
      </c>
      <c r="Z98" s="32">
        <v>0</v>
      </c>
      <c r="AA98" s="33">
        <v>5500</v>
      </c>
      <c r="AB98" s="34">
        <v>0</v>
      </c>
      <c r="AC98" s="35">
        <v>10000</v>
      </c>
      <c r="AD98" s="36"/>
    </row>
    <row r="99" spans="1:30" ht="16.5" customHeight="1" x14ac:dyDescent="0.25">
      <c r="A99" s="19" t="s">
        <v>465</v>
      </c>
      <c r="B99" s="19" t="s">
        <v>466</v>
      </c>
      <c r="C99" s="19" t="s">
        <v>467</v>
      </c>
      <c r="D99" s="19" t="s">
        <v>54</v>
      </c>
      <c r="E99" s="20" t="s">
        <v>34</v>
      </c>
      <c r="F99" s="21">
        <v>1</v>
      </c>
      <c r="G99" s="22" t="s">
        <v>468</v>
      </c>
      <c r="H99" s="23">
        <v>2300</v>
      </c>
      <c r="I99" s="24">
        <v>2300</v>
      </c>
      <c r="J99" s="23">
        <v>2300</v>
      </c>
      <c r="K99" s="25">
        <f t="shared" si="6"/>
        <v>0</v>
      </c>
      <c r="L99" s="26">
        <f t="shared" si="7"/>
        <v>0</v>
      </c>
      <c r="M99" s="27">
        <v>0</v>
      </c>
      <c r="N99" s="28">
        <f t="shared" si="8"/>
        <v>2300</v>
      </c>
      <c r="O99" s="29">
        <f t="shared" si="9"/>
        <v>2300</v>
      </c>
      <c r="P99" s="29">
        <f t="shared" si="10"/>
        <v>2300</v>
      </c>
      <c r="Q99" s="30" t="e" cm="1">
        <f t="array" aca="1" ref="Q99" ca="1">spellNumber(P99)</f>
        <v>#NAME?</v>
      </c>
      <c r="R99" s="31">
        <f t="shared" si="11"/>
        <v>2500</v>
      </c>
      <c r="S99" s="32">
        <v>4300</v>
      </c>
      <c r="T99" s="32">
        <v>2300</v>
      </c>
      <c r="U99" s="32">
        <v>2300</v>
      </c>
      <c r="V99" s="32">
        <v>2300</v>
      </c>
      <c r="W99" s="32">
        <v>2300</v>
      </c>
      <c r="X99" s="32">
        <v>2300</v>
      </c>
      <c r="Y99" s="32">
        <v>2300</v>
      </c>
      <c r="Z99" s="32">
        <v>2300</v>
      </c>
      <c r="AA99" s="33">
        <v>2300</v>
      </c>
      <c r="AB99" s="34">
        <v>2300</v>
      </c>
      <c r="AC99" s="35">
        <v>2300</v>
      </c>
      <c r="AD99" s="36"/>
    </row>
    <row r="100" spans="1:30" ht="16.5" customHeight="1" x14ac:dyDescent="0.25">
      <c r="A100" s="19" t="s">
        <v>469</v>
      </c>
      <c r="B100" s="19" t="s">
        <v>470</v>
      </c>
      <c r="C100" s="19" t="s">
        <v>471</v>
      </c>
      <c r="D100" s="19" t="s">
        <v>54</v>
      </c>
      <c r="E100" s="20" t="s">
        <v>40</v>
      </c>
      <c r="F100" s="21">
        <v>1</v>
      </c>
      <c r="G100" s="22" t="s">
        <v>472</v>
      </c>
      <c r="H100" s="23">
        <v>3000</v>
      </c>
      <c r="I100" s="24">
        <v>3000</v>
      </c>
      <c r="J100" s="23">
        <v>3000</v>
      </c>
      <c r="K100" s="25">
        <f t="shared" si="6"/>
        <v>0</v>
      </c>
      <c r="L100" s="26">
        <f t="shared" si="7"/>
        <v>0</v>
      </c>
      <c r="M100" s="27">
        <v>0</v>
      </c>
      <c r="N100" s="28">
        <f t="shared" si="8"/>
        <v>3000</v>
      </c>
      <c r="O100" s="29">
        <f t="shared" si="9"/>
        <v>3000</v>
      </c>
      <c r="P100" s="29">
        <f t="shared" si="10"/>
        <v>3000</v>
      </c>
      <c r="Q100" s="30" t="e" cm="1">
        <f t="array" aca="1" ref="Q100" ca="1">spellNumber(P100)</f>
        <v>#NAME?</v>
      </c>
      <c r="R100" s="31">
        <f t="shared" si="11"/>
        <v>3200</v>
      </c>
      <c r="S100" s="32">
        <v>7000</v>
      </c>
      <c r="T100" s="32">
        <v>3000</v>
      </c>
      <c r="U100" s="32">
        <v>3000</v>
      </c>
      <c r="V100" s="32">
        <v>3000</v>
      </c>
      <c r="W100" s="32">
        <v>3000</v>
      </c>
      <c r="X100" s="32">
        <v>3000</v>
      </c>
      <c r="Y100" s="32">
        <v>3000</v>
      </c>
      <c r="Z100" s="32">
        <v>3000</v>
      </c>
      <c r="AA100" s="33">
        <v>3000</v>
      </c>
      <c r="AB100" s="34">
        <v>3000</v>
      </c>
      <c r="AC100" s="35">
        <v>3000</v>
      </c>
      <c r="AD100" s="36"/>
    </row>
    <row r="101" spans="1:30" ht="16.5" customHeight="1" x14ac:dyDescent="0.25">
      <c r="A101" s="19" t="s">
        <v>473</v>
      </c>
      <c r="B101" s="19" t="s">
        <v>474</v>
      </c>
      <c r="C101" s="19" t="s">
        <v>475</v>
      </c>
      <c r="D101" s="19" t="s">
        <v>54</v>
      </c>
      <c r="E101" s="20" t="s">
        <v>34</v>
      </c>
      <c r="F101" s="21">
        <v>1</v>
      </c>
      <c r="G101" s="22" t="s">
        <v>476</v>
      </c>
      <c r="H101" s="23">
        <v>2700</v>
      </c>
      <c r="I101" s="24">
        <v>17400</v>
      </c>
      <c r="J101" s="23">
        <v>0</v>
      </c>
      <c r="K101" s="25">
        <f t="shared" si="6"/>
        <v>17400</v>
      </c>
      <c r="L101" s="26">
        <f t="shared" si="7"/>
        <v>6.4444444444444446</v>
      </c>
      <c r="M101" s="27">
        <v>0</v>
      </c>
      <c r="N101" s="28">
        <f t="shared" si="8"/>
        <v>17400</v>
      </c>
      <c r="O101" s="29">
        <f t="shared" si="9"/>
        <v>17400</v>
      </c>
      <c r="P101" s="29">
        <f t="shared" si="10"/>
        <v>17400</v>
      </c>
      <c r="Q101" s="30" t="e" cm="1">
        <f t="array" aca="1" ref="Q101" ca="1">spellNumber(P101)</f>
        <v>#NAME?</v>
      </c>
      <c r="R101" s="31">
        <f t="shared" si="11"/>
        <v>17600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3">
        <v>9000</v>
      </c>
      <c r="AB101" s="34">
        <v>0</v>
      </c>
      <c r="AC101" s="35">
        <v>9000</v>
      </c>
      <c r="AD101" s="36"/>
    </row>
    <row r="102" spans="1:30" ht="16.5" customHeight="1" x14ac:dyDescent="0.25">
      <c r="A102" s="19" t="s">
        <v>477</v>
      </c>
      <c r="B102" s="19" t="s">
        <v>478</v>
      </c>
      <c r="C102" s="19" t="s">
        <v>479</v>
      </c>
      <c r="D102" s="19" t="s">
        <v>54</v>
      </c>
      <c r="E102" s="20" t="s">
        <v>40</v>
      </c>
      <c r="F102" s="21">
        <v>1</v>
      </c>
      <c r="G102" s="22" t="s">
        <v>480</v>
      </c>
      <c r="H102" s="23">
        <v>2500</v>
      </c>
      <c r="I102" s="24">
        <v>15900</v>
      </c>
      <c r="J102" s="23">
        <v>2500</v>
      </c>
      <c r="K102" s="25">
        <f t="shared" si="6"/>
        <v>13400</v>
      </c>
      <c r="L102" s="26">
        <f t="shared" si="7"/>
        <v>5.36</v>
      </c>
      <c r="M102" s="27">
        <v>0</v>
      </c>
      <c r="N102" s="28">
        <f t="shared" si="8"/>
        <v>15900</v>
      </c>
      <c r="O102" s="29">
        <f t="shared" si="9"/>
        <v>15900</v>
      </c>
      <c r="P102" s="29">
        <f t="shared" si="10"/>
        <v>15900</v>
      </c>
      <c r="Q102" s="30" t="e" cm="1">
        <f t="array" aca="1" ref="Q102" ca="1">spellNumber(P102)</f>
        <v>#NAME?</v>
      </c>
      <c r="R102" s="31">
        <f t="shared" si="11"/>
        <v>16100</v>
      </c>
      <c r="S102" s="32">
        <v>0</v>
      </c>
      <c r="T102" s="32">
        <v>0</v>
      </c>
      <c r="U102" s="32">
        <v>15000</v>
      </c>
      <c r="V102" s="32">
        <v>0</v>
      </c>
      <c r="W102" s="32">
        <v>0</v>
      </c>
      <c r="X102" s="32">
        <v>0</v>
      </c>
      <c r="Y102" s="32">
        <v>0</v>
      </c>
      <c r="Z102" s="32">
        <v>10000</v>
      </c>
      <c r="AA102" s="33">
        <v>4000</v>
      </c>
      <c r="AB102" s="34">
        <v>0</v>
      </c>
      <c r="AC102" s="35">
        <v>0</v>
      </c>
      <c r="AD102" s="36"/>
    </row>
    <row r="103" spans="1:30" ht="16.5" customHeight="1" x14ac:dyDescent="0.25">
      <c r="A103" s="19" t="s">
        <v>481</v>
      </c>
      <c r="B103" s="19" t="s">
        <v>482</v>
      </c>
      <c r="C103" s="19" t="s">
        <v>483</v>
      </c>
      <c r="D103" s="19" t="s">
        <v>54</v>
      </c>
      <c r="E103" s="20" t="s">
        <v>34</v>
      </c>
      <c r="F103" s="21">
        <v>1</v>
      </c>
      <c r="G103" s="45" t="s">
        <v>484</v>
      </c>
      <c r="H103" s="23">
        <v>2500</v>
      </c>
      <c r="I103" s="24">
        <v>5000</v>
      </c>
      <c r="J103" s="23">
        <v>0</v>
      </c>
      <c r="K103" s="25">
        <f t="shared" si="6"/>
        <v>5000</v>
      </c>
      <c r="L103" s="26">
        <f t="shared" si="7"/>
        <v>2</v>
      </c>
      <c r="M103" s="27">
        <v>0</v>
      </c>
      <c r="N103" s="28">
        <f t="shared" si="8"/>
        <v>5000</v>
      </c>
      <c r="O103" s="29">
        <f t="shared" si="9"/>
        <v>5000</v>
      </c>
      <c r="P103" s="29">
        <f t="shared" si="10"/>
        <v>5000</v>
      </c>
      <c r="Q103" s="30" t="e" cm="1">
        <f t="array" aca="1" ref="Q103" ca="1">spellNumber(P103)</f>
        <v>#NAME?</v>
      </c>
      <c r="R103" s="31">
        <f t="shared" si="11"/>
        <v>5200</v>
      </c>
      <c r="S103" s="32">
        <v>0</v>
      </c>
      <c r="T103" s="32">
        <v>0</v>
      </c>
      <c r="U103" s="32">
        <v>0</v>
      </c>
      <c r="V103" s="32">
        <v>0</v>
      </c>
      <c r="W103" s="32">
        <v>8000</v>
      </c>
      <c r="X103" s="32">
        <v>2500</v>
      </c>
      <c r="Y103" s="32">
        <v>2500</v>
      </c>
      <c r="Z103" s="32">
        <v>2500</v>
      </c>
      <c r="AA103" s="33">
        <v>0</v>
      </c>
      <c r="AB103" s="34">
        <v>0</v>
      </c>
      <c r="AC103" s="35">
        <v>0</v>
      </c>
      <c r="AD103" s="36"/>
    </row>
    <row r="104" spans="1:30" ht="16.5" customHeight="1" x14ac:dyDescent="0.25">
      <c r="A104" s="19" t="s">
        <v>485</v>
      </c>
      <c r="B104" s="19" t="s">
        <v>486</v>
      </c>
      <c r="C104" s="19" t="s">
        <v>487</v>
      </c>
      <c r="D104" s="19" t="s">
        <v>488</v>
      </c>
      <c r="E104" s="20" t="s">
        <v>34</v>
      </c>
      <c r="F104" s="21">
        <v>3</v>
      </c>
      <c r="G104" s="22" t="s">
        <v>489</v>
      </c>
      <c r="H104" s="23">
        <v>6600</v>
      </c>
      <c r="I104" s="24">
        <v>31200</v>
      </c>
      <c r="J104" s="23">
        <v>7000</v>
      </c>
      <c r="K104" s="25">
        <f t="shared" si="6"/>
        <v>24200</v>
      </c>
      <c r="L104" s="26">
        <f t="shared" si="7"/>
        <v>3.6666666666666665</v>
      </c>
      <c r="M104" s="27">
        <v>0</v>
      </c>
      <c r="N104" s="28">
        <f t="shared" si="8"/>
        <v>31200</v>
      </c>
      <c r="O104" s="29">
        <f t="shared" si="9"/>
        <v>31200</v>
      </c>
      <c r="P104" s="29">
        <f t="shared" si="10"/>
        <v>31200</v>
      </c>
      <c r="Q104" s="30" t="e" cm="1">
        <f t="array" aca="1" ref="Q104" ca="1">spellNumber(P104)</f>
        <v>#NAME?</v>
      </c>
      <c r="R104" s="31">
        <f t="shared" si="11"/>
        <v>31400</v>
      </c>
      <c r="S104" s="32">
        <v>0</v>
      </c>
      <c r="T104" s="32">
        <v>13000</v>
      </c>
      <c r="U104" s="32">
        <v>10000</v>
      </c>
      <c r="V104" s="32">
        <v>0</v>
      </c>
      <c r="W104" s="32">
        <v>7000</v>
      </c>
      <c r="X104" s="32">
        <v>8000</v>
      </c>
      <c r="Y104" s="32">
        <v>8000</v>
      </c>
      <c r="Z104" s="32">
        <v>10000</v>
      </c>
      <c r="AA104" s="33">
        <v>0</v>
      </c>
      <c r="AB104" s="34">
        <v>0</v>
      </c>
      <c r="AC104" s="35">
        <v>10000</v>
      </c>
      <c r="AD104" s="36"/>
    </row>
    <row r="105" spans="1:30" ht="16.5" customHeight="1" x14ac:dyDescent="0.25">
      <c r="A105" s="19" t="s">
        <v>490</v>
      </c>
      <c r="B105" s="19" t="s">
        <v>491</v>
      </c>
      <c r="C105" s="19" t="s">
        <v>492</v>
      </c>
      <c r="D105" s="19" t="s">
        <v>493</v>
      </c>
      <c r="E105" s="20"/>
      <c r="F105" s="21">
        <v>1</v>
      </c>
      <c r="G105" s="22" t="s">
        <v>494</v>
      </c>
      <c r="H105" s="23">
        <v>2000</v>
      </c>
      <c r="I105" s="24">
        <v>2000</v>
      </c>
      <c r="J105" s="23">
        <v>2000</v>
      </c>
      <c r="K105" s="25">
        <f t="shared" si="6"/>
        <v>0</v>
      </c>
      <c r="L105" s="26">
        <f t="shared" si="7"/>
        <v>0</v>
      </c>
      <c r="M105" s="27">
        <v>0</v>
      </c>
      <c r="N105" s="28">
        <f t="shared" si="8"/>
        <v>2000</v>
      </c>
      <c r="O105" s="29">
        <f t="shared" si="9"/>
        <v>2000</v>
      </c>
      <c r="P105" s="29">
        <f t="shared" si="10"/>
        <v>2000</v>
      </c>
      <c r="Q105" s="30" t="e" cm="1">
        <f t="array" aca="1" ref="Q105" ca="1">spellNumber(P105)</f>
        <v>#NAME?</v>
      </c>
      <c r="R105" s="31">
        <f t="shared" si="11"/>
        <v>2200</v>
      </c>
      <c r="S105" s="32">
        <v>0</v>
      </c>
      <c r="T105" s="32">
        <v>5000</v>
      </c>
      <c r="U105" s="32">
        <v>0</v>
      </c>
      <c r="V105" s="32">
        <v>0</v>
      </c>
      <c r="W105" s="32">
        <v>0</v>
      </c>
      <c r="X105" s="32">
        <v>0</v>
      </c>
      <c r="Y105" s="32">
        <v>5000</v>
      </c>
      <c r="Z105" s="32">
        <v>5000</v>
      </c>
      <c r="AA105" s="33">
        <v>5000</v>
      </c>
      <c r="AB105" s="34">
        <v>5000</v>
      </c>
      <c r="AC105" s="35">
        <v>3000</v>
      </c>
      <c r="AD105" s="36"/>
    </row>
    <row r="106" spans="1:30" ht="16.5" customHeight="1" x14ac:dyDescent="0.25">
      <c r="A106" s="19" t="s">
        <v>495</v>
      </c>
      <c r="B106" s="19" t="s">
        <v>496</v>
      </c>
      <c r="C106" s="19" t="s">
        <v>497</v>
      </c>
      <c r="D106" s="19" t="s">
        <v>498</v>
      </c>
      <c r="E106" s="20" t="s">
        <v>34</v>
      </c>
      <c r="F106" s="21">
        <v>4</v>
      </c>
      <c r="G106" s="22" t="s">
        <v>499</v>
      </c>
      <c r="H106" s="23">
        <v>8500</v>
      </c>
      <c r="I106" s="24">
        <v>8500</v>
      </c>
      <c r="J106" s="23">
        <v>8500</v>
      </c>
      <c r="K106" s="25">
        <f t="shared" si="6"/>
        <v>0</v>
      </c>
      <c r="L106" s="26">
        <f t="shared" si="7"/>
        <v>0</v>
      </c>
      <c r="M106" s="27">
        <v>0</v>
      </c>
      <c r="N106" s="28">
        <f t="shared" si="8"/>
        <v>8500</v>
      </c>
      <c r="O106" s="29">
        <f t="shared" si="9"/>
        <v>8500</v>
      </c>
      <c r="P106" s="29">
        <f t="shared" si="10"/>
        <v>8500</v>
      </c>
      <c r="Q106" s="30" t="e" cm="1">
        <f t="array" aca="1" ref="Q106" ca="1">spellNumber(P106)</f>
        <v>#NAME?</v>
      </c>
      <c r="R106" s="31">
        <f t="shared" si="11"/>
        <v>8700</v>
      </c>
      <c r="S106" s="32">
        <v>14000</v>
      </c>
      <c r="T106" s="32">
        <v>6800</v>
      </c>
      <c r="U106" s="32">
        <v>6800</v>
      </c>
      <c r="V106" s="32">
        <v>6800</v>
      </c>
      <c r="W106" s="32">
        <v>7000</v>
      </c>
      <c r="X106" s="32">
        <v>10500</v>
      </c>
      <c r="Y106" s="32">
        <v>8300</v>
      </c>
      <c r="Z106" s="32">
        <v>8500</v>
      </c>
      <c r="AA106" s="33">
        <v>8500</v>
      </c>
      <c r="AB106" s="34">
        <v>8500</v>
      </c>
      <c r="AC106" s="35">
        <v>8500</v>
      </c>
      <c r="AD106" s="36"/>
    </row>
    <row r="107" spans="1:30" ht="16.5" customHeight="1" x14ac:dyDescent="0.25">
      <c r="A107" s="19" t="s">
        <v>500</v>
      </c>
      <c r="B107" s="19" t="s">
        <v>501</v>
      </c>
      <c r="C107" s="19" t="s">
        <v>502</v>
      </c>
      <c r="D107" s="19" t="s">
        <v>503</v>
      </c>
      <c r="E107" s="20" t="s">
        <v>40</v>
      </c>
      <c r="F107" s="21">
        <v>4</v>
      </c>
      <c r="G107" s="22" t="s">
        <v>504</v>
      </c>
      <c r="H107" s="23">
        <v>8000</v>
      </c>
      <c r="I107" s="24">
        <v>8000</v>
      </c>
      <c r="J107" s="23">
        <v>8000</v>
      </c>
      <c r="K107" s="25">
        <f t="shared" si="6"/>
        <v>0</v>
      </c>
      <c r="L107" s="26">
        <f t="shared" si="7"/>
        <v>0</v>
      </c>
      <c r="M107" s="27">
        <v>0</v>
      </c>
      <c r="N107" s="28">
        <f t="shared" si="8"/>
        <v>8000</v>
      </c>
      <c r="O107" s="29">
        <f t="shared" si="9"/>
        <v>8000</v>
      </c>
      <c r="P107" s="29">
        <f t="shared" si="10"/>
        <v>8000</v>
      </c>
      <c r="Q107" s="30" t="e" cm="1">
        <f t="array" aca="1" ref="Q107" ca="1">spellNumber(P107)</f>
        <v>#NAME?</v>
      </c>
      <c r="R107" s="31">
        <f t="shared" si="11"/>
        <v>8200</v>
      </c>
      <c r="S107" s="32">
        <v>14000</v>
      </c>
      <c r="T107" s="32">
        <v>8000</v>
      </c>
      <c r="U107" s="32">
        <v>8000</v>
      </c>
      <c r="V107" s="32">
        <v>8000</v>
      </c>
      <c r="W107" s="32">
        <v>8000</v>
      </c>
      <c r="X107" s="32">
        <v>8000</v>
      </c>
      <c r="Y107" s="32">
        <v>8000</v>
      </c>
      <c r="Z107" s="32">
        <v>8000</v>
      </c>
      <c r="AA107" s="33">
        <v>8000</v>
      </c>
      <c r="AB107" s="34">
        <v>8000</v>
      </c>
      <c r="AC107" s="35">
        <v>8000</v>
      </c>
      <c r="AD107" s="36"/>
    </row>
    <row r="108" spans="1:30" ht="16.5" customHeight="1" x14ac:dyDescent="0.25">
      <c r="A108" s="19" t="s">
        <v>505</v>
      </c>
      <c r="B108" s="19" t="s">
        <v>506</v>
      </c>
      <c r="C108" s="19" t="s">
        <v>507</v>
      </c>
      <c r="D108" s="19" t="s">
        <v>508</v>
      </c>
      <c r="E108" s="20" t="s">
        <v>40</v>
      </c>
      <c r="F108" s="21">
        <v>2</v>
      </c>
      <c r="G108" s="22" t="s">
        <v>509</v>
      </c>
      <c r="H108" s="23">
        <v>2100</v>
      </c>
      <c r="I108" s="24">
        <v>2100</v>
      </c>
      <c r="J108" s="23">
        <v>2100</v>
      </c>
      <c r="K108" s="25">
        <f t="shared" si="6"/>
        <v>0</v>
      </c>
      <c r="L108" s="26">
        <f t="shared" si="7"/>
        <v>0</v>
      </c>
      <c r="M108" s="27">
        <v>0</v>
      </c>
      <c r="N108" s="28">
        <f t="shared" si="8"/>
        <v>2100</v>
      </c>
      <c r="O108" s="29">
        <f t="shared" si="9"/>
        <v>2100</v>
      </c>
      <c r="P108" s="29">
        <f t="shared" si="10"/>
        <v>2100</v>
      </c>
      <c r="Q108" s="30" t="e" cm="1">
        <f t="array" aca="1" ref="Q108" ca="1">spellNumber(P108)</f>
        <v>#NAME?</v>
      </c>
      <c r="R108" s="31">
        <f t="shared" si="11"/>
        <v>2300</v>
      </c>
      <c r="S108" s="32">
        <v>10100</v>
      </c>
      <c r="T108" s="32">
        <v>2100</v>
      </c>
      <c r="U108" s="32">
        <v>2100</v>
      </c>
      <c r="V108" s="32">
        <v>2100</v>
      </c>
      <c r="W108" s="32">
        <v>2100</v>
      </c>
      <c r="X108" s="32">
        <v>2100</v>
      </c>
      <c r="Y108" s="32">
        <v>2100</v>
      </c>
      <c r="Z108" s="32">
        <v>2100</v>
      </c>
      <c r="AA108" s="33">
        <v>2100</v>
      </c>
      <c r="AB108" s="34">
        <v>2100</v>
      </c>
      <c r="AC108" s="35">
        <v>2100</v>
      </c>
      <c r="AD108" s="36"/>
    </row>
    <row r="109" spans="1:30" ht="16.5" customHeight="1" x14ac:dyDescent="0.25">
      <c r="A109" s="19" t="s">
        <v>510</v>
      </c>
      <c r="B109" s="19" t="s">
        <v>511</v>
      </c>
      <c r="C109" s="19" t="s">
        <v>512</v>
      </c>
      <c r="D109" s="19" t="s">
        <v>513</v>
      </c>
      <c r="E109" s="20" t="s">
        <v>40</v>
      </c>
      <c r="F109" s="21">
        <v>2</v>
      </c>
      <c r="G109" s="22" t="s">
        <v>514</v>
      </c>
      <c r="H109" s="23">
        <v>4200</v>
      </c>
      <c r="I109" s="24">
        <v>5220</v>
      </c>
      <c r="J109" s="23">
        <v>5220</v>
      </c>
      <c r="K109" s="25">
        <f t="shared" si="6"/>
        <v>0</v>
      </c>
      <c r="L109" s="26">
        <f t="shared" si="7"/>
        <v>0</v>
      </c>
      <c r="M109" s="27">
        <v>0</v>
      </c>
      <c r="N109" s="28">
        <f t="shared" si="8"/>
        <v>5220</v>
      </c>
      <c r="O109" s="29">
        <f t="shared" si="9"/>
        <v>5220</v>
      </c>
      <c r="P109" s="29">
        <f t="shared" si="10"/>
        <v>5200</v>
      </c>
      <c r="Q109" s="30" t="e" cm="1">
        <f t="array" aca="1" ref="Q109" ca="1">spellNumber(P109)</f>
        <v>#NAME?</v>
      </c>
      <c r="R109" s="31">
        <f t="shared" si="11"/>
        <v>5400</v>
      </c>
      <c r="S109" s="32">
        <v>6300</v>
      </c>
      <c r="T109" s="32">
        <v>4900</v>
      </c>
      <c r="U109" s="32">
        <v>5200</v>
      </c>
      <c r="V109" s="32">
        <v>5200</v>
      </c>
      <c r="W109" s="32">
        <v>4200</v>
      </c>
      <c r="X109" s="32">
        <v>5200</v>
      </c>
      <c r="Y109" s="32">
        <v>5200</v>
      </c>
      <c r="Z109" s="32">
        <v>5240</v>
      </c>
      <c r="AA109" s="33">
        <v>5240</v>
      </c>
      <c r="AB109" s="34">
        <v>5200</v>
      </c>
      <c r="AC109" s="35">
        <v>5300</v>
      </c>
      <c r="AD109" s="36"/>
    </row>
    <row r="110" spans="1:30" ht="16.5" customHeight="1" x14ac:dyDescent="0.25">
      <c r="A110" s="19" t="s">
        <v>515</v>
      </c>
      <c r="B110" s="19" t="s">
        <v>516</v>
      </c>
      <c r="C110" s="19" t="s">
        <v>517</v>
      </c>
      <c r="D110" s="19" t="s">
        <v>518</v>
      </c>
      <c r="E110" s="20" t="s">
        <v>40</v>
      </c>
      <c r="F110" s="21">
        <v>2</v>
      </c>
      <c r="G110" s="22" t="s">
        <v>519</v>
      </c>
      <c r="H110" s="23">
        <v>5000</v>
      </c>
      <c r="I110" s="24">
        <v>5000</v>
      </c>
      <c r="J110" s="23">
        <v>0</v>
      </c>
      <c r="K110" s="25">
        <f t="shared" si="6"/>
        <v>5000</v>
      </c>
      <c r="L110" s="26">
        <f t="shared" si="7"/>
        <v>1</v>
      </c>
      <c r="M110" s="27">
        <v>0</v>
      </c>
      <c r="N110" s="28">
        <f t="shared" si="8"/>
        <v>5000</v>
      </c>
      <c r="O110" s="29">
        <f t="shared" si="9"/>
        <v>5000</v>
      </c>
      <c r="P110" s="29">
        <f t="shared" si="10"/>
        <v>5000</v>
      </c>
      <c r="Q110" s="30" t="e" cm="1">
        <f t="array" aca="1" ref="Q110" ca="1">spellNumber(P110)</f>
        <v>#NAME?</v>
      </c>
      <c r="R110" s="31">
        <f t="shared" si="11"/>
        <v>5200</v>
      </c>
      <c r="S110" s="32">
        <v>0</v>
      </c>
      <c r="T110" s="32">
        <v>23000</v>
      </c>
      <c r="U110" s="32">
        <v>7500</v>
      </c>
      <c r="V110" s="32">
        <v>6500</v>
      </c>
      <c r="W110" s="32">
        <v>0</v>
      </c>
      <c r="X110" s="32">
        <v>12000</v>
      </c>
      <c r="Y110" s="32">
        <v>0</v>
      </c>
      <c r="Z110" s="32">
        <v>8000</v>
      </c>
      <c r="AA110" s="33">
        <v>0</v>
      </c>
      <c r="AB110" s="34">
        <v>13000</v>
      </c>
      <c r="AC110" s="35">
        <v>5000</v>
      </c>
      <c r="AD110" s="36"/>
    </row>
    <row r="111" spans="1:30" ht="16.5" customHeight="1" x14ac:dyDescent="0.25">
      <c r="A111" s="19" t="s">
        <v>520</v>
      </c>
      <c r="B111" s="19" t="s">
        <v>521</v>
      </c>
      <c r="C111" s="19" t="s">
        <v>522</v>
      </c>
      <c r="D111" s="19" t="s">
        <v>513</v>
      </c>
      <c r="E111" s="20" t="s">
        <v>34</v>
      </c>
      <c r="F111" s="21">
        <v>2</v>
      </c>
      <c r="G111" s="22" t="s">
        <v>523</v>
      </c>
      <c r="H111" s="23">
        <v>4300</v>
      </c>
      <c r="I111" s="24">
        <v>5050</v>
      </c>
      <c r="J111" s="23">
        <v>5050</v>
      </c>
      <c r="K111" s="25">
        <f t="shared" si="6"/>
        <v>0</v>
      </c>
      <c r="L111" s="26">
        <f t="shared" si="7"/>
        <v>0</v>
      </c>
      <c r="M111" s="27">
        <v>0</v>
      </c>
      <c r="N111" s="28">
        <f t="shared" si="8"/>
        <v>5050</v>
      </c>
      <c r="O111" s="29">
        <f t="shared" si="9"/>
        <v>5050</v>
      </c>
      <c r="P111" s="29">
        <f t="shared" si="10"/>
        <v>5100</v>
      </c>
      <c r="Q111" s="30" t="e" cm="1">
        <f t="array" aca="1" ref="Q111" ca="1">spellNumber(P111)</f>
        <v>#NAME?</v>
      </c>
      <c r="R111" s="31">
        <f t="shared" si="11"/>
        <v>5300</v>
      </c>
      <c r="S111" s="32">
        <v>4300</v>
      </c>
      <c r="T111" s="32">
        <v>4300</v>
      </c>
      <c r="U111" s="32">
        <v>4300</v>
      </c>
      <c r="V111" s="32">
        <v>4300</v>
      </c>
      <c r="W111" s="32">
        <v>4300</v>
      </c>
      <c r="X111" s="32">
        <v>4800</v>
      </c>
      <c r="Y111" s="32">
        <v>5050</v>
      </c>
      <c r="Z111" s="32">
        <v>5050</v>
      </c>
      <c r="AA111" s="33">
        <v>5050</v>
      </c>
      <c r="AB111" s="34">
        <v>5100</v>
      </c>
      <c r="AC111" s="35">
        <v>5000</v>
      </c>
      <c r="AD111" s="36"/>
    </row>
    <row r="112" spans="1:30" s="46" customFormat="1" ht="16.5" customHeight="1" x14ac:dyDescent="0.25">
      <c r="A112" s="19" t="s">
        <v>524</v>
      </c>
      <c r="B112" s="19" t="s">
        <v>525</v>
      </c>
      <c r="C112" s="19" t="s">
        <v>526</v>
      </c>
      <c r="D112" s="19" t="s">
        <v>527</v>
      </c>
      <c r="E112" s="20" t="s">
        <v>34</v>
      </c>
      <c r="F112" s="21">
        <v>2</v>
      </c>
      <c r="G112" s="22" t="s">
        <v>528</v>
      </c>
      <c r="H112" s="23">
        <v>4000</v>
      </c>
      <c r="I112" s="24">
        <v>32000</v>
      </c>
      <c r="J112" s="23">
        <v>5000</v>
      </c>
      <c r="K112" s="25">
        <f t="shared" si="6"/>
        <v>27000</v>
      </c>
      <c r="L112" s="26">
        <f t="shared" si="7"/>
        <v>6.75</v>
      </c>
      <c r="M112" s="27">
        <v>0</v>
      </c>
      <c r="N112" s="28">
        <f t="shared" si="8"/>
        <v>32000</v>
      </c>
      <c r="O112" s="29">
        <f t="shared" si="9"/>
        <v>32000</v>
      </c>
      <c r="P112" s="29">
        <f t="shared" si="10"/>
        <v>32000</v>
      </c>
      <c r="Q112" s="30" t="e" cm="1">
        <f t="array" aca="1" ref="Q112" ca="1">spellNumber(P112)</f>
        <v>#NAME?</v>
      </c>
      <c r="R112" s="31">
        <f t="shared" si="11"/>
        <v>32200</v>
      </c>
      <c r="S112" s="32">
        <v>15000</v>
      </c>
      <c r="T112" s="32">
        <v>0</v>
      </c>
      <c r="U112" s="32">
        <v>0</v>
      </c>
      <c r="V112" s="32">
        <v>0</v>
      </c>
      <c r="W112" s="32">
        <v>5000</v>
      </c>
      <c r="X112" s="32">
        <v>0</v>
      </c>
      <c r="Y112" s="32">
        <v>0</v>
      </c>
      <c r="Z112" s="32">
        <v>0</v>
      </c>
      <c r="AA112" s="33">
        <v>5000</v>
      </c>
      <c r="AB112" s="34">
        <v>0</v>
      </c>
      <c r="AC112" s="35">
        <v>0</v>
      </c>
      <c r="AD112" s="36"/>
    </row>
    <row r="113" spans="1:30" ht="16.5" customHeight="1" x14ac:dyDescent="0.25">
      <c r="A113" s="19" t="s">
        <v>529</v>
      </c>
      <c r="B113" s="19" t="s">
        <v>530</v>
      </c>
      <c r="C113" s="19" t="s">
        <v>531</v>
      </c>
      <c r="D113" s="19" t="s">
        <v>532</v>
      </c>
      <c r="E113" s="20" t="s">
        <v>34</v>
      </c>
      <c r="F113" s="21">
        <v>2</v>
      </c>
      <c r="G113" s="22" t="s">
        <v>533</v>
      </c>
      <c r="H113" s="23">
        <v>5300</v>
      </c>
      <c r="I113" s="24">
        <v>5300</v>
      </c>
      <c r="J113" s="23">
        <v>5300</v>
      </c>
      <c r="K113" s="25">
        <f t="shared" si="6"/>
        <v>0</v>
      </c>
      <c r="L113" s="26">
        <f t="shared" si="7"/>
        <v>0</v>
      </c>
      <c r="M113" s="27">
        <v>0</v>
      </c>
      <c r="N113" s="28">
        <f t="shared" si="8"/>
        <v>5300</v>
      </c>
      <c r="O113" s="29">
        <f t="shared" si="9"/>
        <v>5300</v>
      </c>
      <c r="P113" s="29">
        <f t="shared" si="10"/>
        <v>5300</v>
      </c>
      <c r="Q113" s="30" t="e" cm="1">
        <f t="array" aca="1" ref="Q113" ca="1">spellNumber(P113)</f>
        <v>#NAME?</v>
      </c>
      <c r="R113" s="31">
        <f t="shared" si="11"/>
        <v>5500</v>
      </c>
      <c r="S113" s="32">
        <v>0</v>
      </c>
      <c r="T113" s="32">
        <v>15100</v>
      </c>
      <c r="U113" s="32">
        <v>5300</v>
      </c>
      <c r="V113" s="32">
        <v>0</v>
      </c>
      <c r="W113" s="32">
        <v>0</v>
      </c>
      <c r="X113" s="32">
        <v>0</v>
      </c>
      <c r="Y113" s="32">
        <v>19900</v>
      </c>
      <c r="Z113" s="32">
        <v>5300</v>
      </c>
      <c r="AA113" s="33">
        <v>2500</v>
      </c>
      <c r="AB113" s="34">
        <v>8900</v>
      </c>
      <c r="AC113" s="35">
        <v>5300</v>
      </c>
      <c r="AD113" s="36"/>
    </row>
    <row r="114" spans="1:30" ht="16.5" customHeight="1" x14ac:dyDescent="0.25">
      <c r="A114" s="19" t="s">
        <v>534</v>
      </c>
      <c r="B114" s="19" t="s">
        <v>535</v>
      </c>
      <c r="C114" s="19" t="s">
        <v>536</v>
      </c>
      <c r="D114" s="19" t="s">
        <v>537</v>
      </c>
      <c r="E114" s="20" t="s">
        <v>40</v>
      </c>
      <c r="F114" s="21">
        <v>5</v>
      </c>
      <c r="G114" s="22" t="s">
        <v>538</v>
      </c>
      <c r="H114" s="23">
        <v>10500</v>
      </c>
      <c r="I114" s="24">
        <v>30400</v>
      </c>
      <c r="J114" s="23">
        <v>9000</v>
      </c>
      <c r="K114" s="25">
        <f t="shared" si="6"/>
        <v>21400</v>
      </c>
      <c r="L114" s="26">
        <f t="shared" si="7"/>
        <v>2.038095238095238</v>
      </c>
      <c r="M114" s="27">
        <v>0</v>
      </c>
      <c r="N114" s="28">
        <f t="shared" si="8"/>
        <v>30400</v>
      </c>
      <c r="O114" s="29">
        <f t="shared" si="9"/>
        <v>30400</v>
      </c>
      <c r="P114" s="29">
        <f t="shared" si="10"/>
        <v>30400</v>
      </c>
      <c r="Q114" s="30" t="e" cm="1">
        <f t="array" aca="1" ref="Q114" ca="1">spellNumber(P114)</f>
        <v>#NAME?</v>
      </c>
      <c r="R114" s="31">
        <f t="shared" si="11"/>
        <v>30600</v>
      </c>
      <c r="S114" s="32">
        <v>0</v>
      </c>
      <c r="T114" s="32">
        <v>0</v>
      </c>
      <c r="U114" s="32">
        <v>30000</v>
      </c>
      <c r="V114" s="32">
        <v>0</v>
      </c>
      <c r="W114" s="32">
        <v>0</v>
      </c>
      <c r="X114" s="32">
        <v>0</v>
      </c>
      <c r="Y114" s="32">
        <v>30000</v>
      </c>
      <c r="Z114" s="32">
        <v>17100</v>
      </c>
      <c r="AA114" s="33">
        <v>17000</v>
      </c>
      <c r="AB114" s="34">
        <v>10500</v>
      </c>
      <c r="AC114" s="35">
        <v>10500</v>
      </c>
      <c r="AD114" s="36"/>
    </row>
    <row r="115" spans="1:30" ht="16.5" customHeight="1" x14ac:dyDescent="0.25">
      <c r="A115" s="19" t="s">
        <v>539</v>
      </c>
      <c r="B115" s="19" t="s">
        <v>540</v>
      </c>
      <c r="C115" s="19" t="s">
        <v>541</v>
      </c>
      <c r="D115" s="19" t="s">
        <v>542</v>
      </c>
      <c r="E115" s="20" t="s">
        <v>34</v>
      </c>
      <c r="F115" s="21">
        <v>3</v>
      </c>
      <c r="G115" s="22" t="s">
        <v>543</v>
      </c>
      <c r="H115" s="23">
        <v>6000</v>
      </c>
      <c r="I115" s="24">
        <v>44500</v>
      </c>
      <c r="J115" s="23">
        <v>0</v>
      </c>
      <c r="K115" s="25">
        <f t="shared" si="6"/>
        <v>44500</v>
      </c>
      <c r="L115" s="26">
        <f t="shared" si="7"/>
        <v>7.416666666666667</v>
      </c>
      <c r="M115" s="27">
        <v>0</v>
      </c>
      <c r="N115" s="28">
        <f t="shared" si="8"/>
        <v>44500</v>
      </c>
      <c r="O115" s="29">
        <f t="shared" si="9"/>
        <v>44500</v>
      </c>
      <c r="P115" s="29">
        <f t="shared" si="10"/>
        <v>44500</v>
      </c>
      <c r="Q115" s="30" t="e" cm="1">
        <f t="array" aca="1" ref="Q115" ca="1">spellNumber(P115)</f>
        <v>#NAME?</v>
      </c>
      <c r="R115" s="31">
        <f t="shared" si="11"/>
        <v>44700</v>
      </c>
      <c r="S115" s="32">
        <v>0</v>
      </c>
      <c r="T115" s="32">
        <v>15000</v>
      </c>
      <c r="U115" s="32">
        <v>0</v>
      </c>
      <c r="V115" s="32">
        <v>0</v>
      </c>
      <c r="W115" s="32">
        <v>12000</v>
      </c>
      <c r="X115" s="32">
        <v>0</v>
      </c>
      <c r="Y115" s="32">
        <v>10000</v>
      </c>
      <c r="Z115" s="32">
        <v>0</v>
      </c>
      <c r="AA115" s="33">
        <v>0</v>
      </c>
      <c r="AB115" s="34">
        <v>10000</v>
      </c>
      <c r="AC115" s="35">
        <v>12000</v>
      </c>
      <c r="AD115" s="36"/>
    </row>
    <row r="116" spans="1:30" ht="16.5" customHeight="1" x14ac:dyDescent="0.25">
      <c r="A116" s="19" t="s">
        <v>544</v>
      </c>
      <c r="B116" s="19" t="s">
        <v>545</v>
      </c>
      <c r="C116" s="19" t="s">
        <v>546</v>
      </c>
      <c r="D116" s="19" t="s">
        <v>542</v>
      </c>
      <c r="E116" s="20" t="s">
        <v>34</v>
      </c>
      <c r="F116" s="21">
        <v>3</v>
      </c>
      <c r="G116" s="47" t="s">
        <v>547</v>
      </c>
      <c r="H116" s="23">
        <v>6000</v>
      </c>
      <c r="I116" s="24">
        <v>37500</v>
      </c>
      <c r="J116" s="23">
        <v>15000</v>
      </c>
      <c r="K116" s="25">
        <f t="shared" si="6"/>
        <v>22500</v>
      </c>
      <c r="L116" s="26">
        <f t="shared" si="7"/>
        <v>3.75</v>
      </c>
      <c r="M116" s="27">
        <v>0</v>
      </c>
      <c r="N116" s="28">
        <f t="shared" si="8"/>
        <v>37500</v>
      </c>
      <c r="O116" s="29">
        <f t="shared" si="9"/>
        <v>37500</v>
      </c>
      <c r="P116" s="29">
        <f t="shared" si="10"/>
        <v>37500</v>
      </c>
      <c r="Q116" s="30" t="e" cm="1">
        <f t="array" aca="1" ref="Q116" ca="1">spellNumber(P116)</f>
        <v>#NAME?</v>
      </c>
      <c r="R116" s="31">
        <f t="shared" si="11"/>
        <v>37700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15000</v>
      </c>
      <c r="Z116" s="32">
        <v>0</v>
      </c>
      <c r="AA116" s="33">
        <v>0</v>
      </c>
      <c r="AB116" s="34">
        <v>0</v>
      </c>
      <c r="AC116" s="35">
        <v>0</v>
      </c>
      <c r="AD116" s="36"/>
    </row>
    <row r="117" spans="1:30" ht="16.5" customHeight="1" x14ac:dyDescent="0.25">
      <c r="A117" s="19" t="s">
        <v>548</v>
      </c>
      <c r="B117" s="19" t="s">
        <v>549</v>
      </c>
      <c r="C117" s="19" t="s">
        <v>550</v>
      </c>
      <c r="D117" s="19" t="s">
        <v>551</v>
      </c>
      <c r="E117" s="20" t="s">
        <v>34</v>
      </c>
      <c r="F117" s="21">
        <v>3</v>
      </c>
      <c r="G117" s="22" t="s">
        <v>552</v>
      </c>
      <c r="H117" s="23">
        <v>6000</v>
      </c>
      <c r="I117" s="24">
        <v>9000</v>
      </c>
      <c r="J117" s="23">
        <v>9000</v>
      </c>
      <c r="K117" s="25">
        <f t="shared" si="6"/>
        <v>0</v>
      </c>
      <c r="L117" s="26">
        <f t="shared" si="7"/>
        <v>0</v>
      </c>
      <c r="M117" s="27">
        <v>0</v>
      </c>
      <c r="N117" s="28">
        <f t="shared" si="8"/>
        <v>9000</v>
      </c>
      <c r="O117" s="29">
        <f t="shared" si="9"/>
        <v>9000</v>
      </c>
      <c r="P117" s="29">
        <f t="shared" si="10"/>
        <v>9000</v>
      </c>
      <c r="Q117" s="30" t="e" cm="1">
        <f t="array" aca="1" ref="Q117" ca="1">spellNumber(P117)</f>
        <v>#NAME?</v>
      </c>
      <c r="R117" s="31">
        <f t="shared" si="11"/>
        <v>9200</v>
      </c>
      <c r="S117" s="32">
        <v>0</v>
      </c>
      <c r="T117" s="32">
        <v>11000</v>
      </c>
      <c r="U117" s="32">
        <v>6000</v>
      </c>
      <c r="V117" s="32">
        <v>0</v>
      </c>
      <c r="W117" s="32">
        <v>0</v>
      </c>
      <c r="X117" s="32">
        <v>18000</v>
      </c>
      <c r="Y117" s="32">
        <v>6000</v>
      </c>
      <c r="Z117" s="32">
        <v>0</v>
      </c>
      <c r="AA117" s="33">
        <v>12000</v>
      </c>
      <c r="AB117" s="34">
        <v>0</v>
      </c>
      <c r="AC117" s="35">
        <v>9000</v>
      </c>
      <c r="AD117" s="36"/>
    </row>
    <row r="118" spans="1:30" ht="16.5" customHeight="1" x14ac:dyDescent="0.25">
      <c r="A118" s="19" t="s">
        <v>553</v>
      </c>
      <c r="B118" s="19" t="s">
        <v>554</v>
      </c>
      <c r="C118" s="19" t="s">
        <v>555</v>
      </c>
      <c r="D118" s="19" t="s">
        <v>556</v>
      </c>
      <c r="E118" s="20" t="s">
        <v>40</v>
      </c>
      <c r="F118" s="21">
        <v>4</v>
      </c>
      <c r="G118" s="22" t="s">
        <v>557</v>
      </c>
      <c r="H118" s="23">
        <v>8000</v>
      </c>
      <c r="I118" s="24">
        <v>8000</v>
      </c>
      <c r="J118" s="23">
        <v>8000</v>
      </c>
      <c r="K118" s="25">
        <f t="shared" si="6"/>
        <v>0</v>
      </c>
      <c r="L118" s="26">
        <f t="shared" si="7"/>
        <v>0</v>
      </c>
      <c r="M118" s="27">
        <v>0</v>
      </c>
      <c r="N118" s="28">
        <f t="shared" si="8"/>
        <v>8000</v>
      </c>
      <c r="O118" s="29">
        <f t="shared" si="9"/>
        <v>8000</v>
      </c>
      <c r="P118" s="29">
        <f t="shared" si="10"/>
        <v>8000</v>
      </c>
      <c r="Q118" s="30" t="e" cm="1">
        <f t="array" aca="1" ref="Q118" ca="1">spellNumber(P118)</f>
        <v>#NAME?</v>
      </c>
      <c r="R118" s="31">
        <f t="shared" si="11"/>
        <v>8200</v>
      </c>
      <c r="S118" s="32">
        <v>0</v>
      </c>
      <c r="T118" s="32">
        <v>12000</v>
      </c>
      <c r="U118" s="32">
        <v>12000</v>
      </c>
      <c r="V118" s="32">
        <v>16000</v>
      </c>
      <c r="W118" s="32">
        <v>0</v>
      </c>
      <c r="X118" s="32">
        <v>16000</v>
      </c>
      <c r="Y118" s="32">
        <v>8000</v>
      </c>
      <c r="Z118" s="32">
        <v>8000</v>
      </c>
      <c r="AA118" s="33">
        <v>8000</v>
      </c>
      <c r="AB118" s="34">
        <v>8000</v>
      </c>
      <c r="AC118" s="35">
        <v>8000</v>
      </c>
      <c r="AD118" s="36"/>
    </row>
    <row r="119" spans="1:30" ht="16.5" customHeight="1" x14ac:dyDescent="0.25">
      <c r="A119" s="19" t="s">
        <v>558</v>
      </c>
      <c r="B119" s="19" t="s">
        <v>559</v>
      </c>
      <c r="C119" s="19" t="s">
        <v>560</v>
      </c>
      <c r="D119" s="19" t="s">
        <v>434</v>
      </c>
      <c r="E119" s="20" t="s">
        <v>40</v>
      </c>
      <c r="F119" s="21">
        <v>1</v>
      </c>
      <c r="G119" s="22" t="s">
        <v>561</v>
      </c>
      <c r="H119" s="23">
        <v>3000</v>
      </c>
      <c r="I119" s="24">
        <v>3000</v>
      </c>
      <c r="J119" s="23">
        <v>3000</v>
      </c>
      <c r="K119" s="25">
        <f t="shared" si="6"/>
        <v>0</v>
      </c>
      <c r="L119" s="26">
        <f t="shared" si="7"/>
        <v>0</v>
      </c>
      <c r="M119" s="27">
        <v>0</v>
      </c>
      <c r="N119" s="28">
        <f t="shared" si="8"/>
        <v>3000</v>
      </c>
      <c r="O119" s="29">
        <f t="shared" si="9"/>
        <v>3000</v>
      </c>
      <c r="P119" s="29">
        <f t="shared" si="10"/>
        <v>3000</v>
      </c>
      <c r="Q119" s="30" t="e" cm="1">
        <f t="array" aca="1" ref="Q119" ca="1">spellNumber(P119)</f>
        <v>#NAME?</v>
      </c>
      <c r="R119" s="31">
        <f t="shared" si="11"/>
        <v>3200</v>
      </c>
      <c r="S119" s="32">
        <v>0</v>
      </c>
      <c r="T119" s="32">
        <v>0</v>
      </c>
      <c r="U119" s="32">
        <v>0</v>
      </c>
      <c r="V119" s="32">
        <v>10000</v>
      </c>
      <c r="W119" s="32">
        <v>5000</v>
      </c>
      <c r="X119" s="32">
        <v>5000</v>
      </c>
      <c r="Y119" s="32">
        <v>3000</v>
      </c>
      <c r="Z119" s="32">
        <v>3000</v>
      </c>
      <c r="AA119" s="33">
        <v>3000</v>
      </c>
      <c r="AB119" s="34">
        <v>3000</v>
      </c>
      <c r="AC119" s="35">
        <v>3000</v>
      </c>
      <c r="AD119" s="36"/>
    </row>
    <row r="120" spans="1:30" ht="16.5" customHeight="1" x14ac:dyDescent="0.25">
      <c r="A120" s="19" t="s">
        <v>562</v>
      </c>
      <c r="B120" s="19" t="s">
        <v>563</v>
      </c>
      <c r="C120" s="19" t="s">
        <v>564</v>
      </c>
      <c r="D120" s="19" t="s">
        <v>54</v>
      </c>
      <c r="E120" s="20" t="s">
        <v>34</v>
      </c>
      <c r="F120" s="21">
        <v>1</v>
      </c>
      <c r="G120" s="47" t="s">
        <v>565</v>
      </c>
      <c r="H120" s="23">
        <v>2500</v>
      </c>
      <c r="I120" s="24">
        <v>2500</v>
      </c>
      <c r="J120" s="23">
        <v>2500</v>
      </c>
      <c r="K120" s="25">
        <f t="shared" si="6"/>
        <v>0</v>
      </c>
      <c r="L120" s="26">
        <f t="shared" si="7"/>
        <v>0</v>
      </c>
      <c r="M120" s="27">
        <v>0</v>
      </c>
      <c r="N120" s="28">
        <f t="shared" si="8"/>
        <v>2500</v>
      </c>
      <c r="O120" s="29">
        <f t="shared" si="9"/>
        <v>2500</v>
      </c>
      <c r="P120" s="29">
        <f t="shared" si="10"/>
        <v>2500</v>
      </c>
      <c r="Q120" s="30" t="e" cm="1">
        <f t="array" aca="1" ref="Q120" ca="1">spellNumber(P120)</f>
        <v>#NAME?</v>
      </c>
      <c r="R120" s="31">
        <f t="shared" si="11"/>
        <v>2700</v>
      </c>
      <c r="S120" s="32">
        <v>0</v>
      </c>
      <c r="T120" s="32">
        <v>5000</v>
      </c>
      <c r="U120" s="32">
        <v>0</v>
      </c>
      <c r="V120" s="32">
        <v>5000</v>
      </c>
      <c r="W120" s="32">
        <v>5000</v>
      </c>
      <c r="X120" s="32">
        <v>2500</v>
      </c>
      <c r="Y120" s="32">
        <v>2500</v>
      </c>
      <c r="Z120" s="32">
        <v>2500</v>
      </c>
      <c r="AA120" s="33">
        <v>2500</v>
      </c>
      <c r="AB120" s="34">
        <v>2500</v>
      </c>
      <c r="AC120" s="35">
        <v>2500</v>
      </c>
      <c r="AD120" s="36"/>
    </row>
    <row r="121" spans="1:30" ht="16.5" customHeight="1" x14ac:dyDescent="0.25">
      <c r="A121" s="19" t="s">
        <v>566</v>
      </c>
      <c r="B121" s="19" t="s">
        <v>567</v>
      </c>
      <c r="C121" s="19" t="s">
        <v>568</v>
      </c>
      <c r="D121" s="19" t="s">
        <v>387</v>
      </c>
      <c r="E121" s="20" t="s">
        <v>34</v>
      </c>
      <c r="F121" s="21">
        <v>2</v>
      </c>
      <c r="G121" s="47" t="s">
        <v>203</v>
      </c>
      <c r="H121" s="23">
        <v>4800</v>
      </c>
      <c r="I121" s="24">
        <v>4800</v>
      </c>
      <c r="J121" s="23">
        <v>4800</v>
      </c>
      <c r="K121" s="25">
        <f t="shared" si="6"/>
        <v>0</v>
      </c>
      <c r="L121" s="26">
        <f t="shared" si="7"/>
        <v>0</v>
      </c>
      <c r="M121" s="27">
        <v>0</v>
      </c>
      <c r="N121" s="28">
        <f t="shared" si="8"/>
        <v>4800</v>
      </c>
      <c r="O121" s="29">
        <f t="shared" si="9"/>
        <v>4800</v>
      </c>
      <c r="P121" s="29">
        <f t="shared" si="10"/>
        <v>4800</v>
      </c>
      <c r="Q121" s="30" t="e" cm="1">
        <f t="array" aca="1" ref="Q121" ca="1">spellNumber(P121)</f>
        <v>#NAME?</v>
      </c>
      <c r="R121" s="31">
        <f t="shared" si="11"/>
        <v>5000</v>
      </c>
      <c r="S121" s="32">
        <v>10800</v>
      </c>
      <c r="T121" s="32">
        <v>4800</v>
      </c>
      <c r="U121" s="32">
        <v>4800</v>
      </c>
      <c r="V121" s="32">
        <v>4800</v>
      </c>
      <c r="W121" s="32">
        <v>4800</v>
      </c>
      <c r="X121" s="32">
        <v>4800</v>
      </c>
      <c r="Y121" s="32">
        <v>4800</v>
      </c>
      <c r="Z121" s="32">
        <v>4800</v>
      </c>
      <c r="AA121" s="33">
        <v>4800</v>
      </c>
      <c r="AB121" s="34">
        <v>4800</v>
      </c>
      <c r="AC121" s="35">
        <v>0</v>
      </c>
      <c r="AD121" s="36"/>
    </row>
    <row r="122" spans="1:30" ht="16.5" customHeight="1" x14ac:dyDescent="0.25">
      <c r="A122" s="19" t="s">
        <v>569</v>
      </c>
      <c r="B122" s="19" t="s">
        <v>570</v>
      </c>
      <c r="C122" s="19" t="s">
        <v>571</v>
      </c>
      <c r="D122" s="19" t="s">
        <v>54</v>
      </c>
      <c r="E122" s="20" t="s">
        <v>40</v>
      </c>
      <c r="F122" s="21">
        <v>1</v>
      </c>
      <c r="G122" s="22" t="s">
        <v>572</v>
      </c>
      <c r="H122" s="23">
        <v>2300</v>
      </c>
      <c r="I122" s="24">
        <v>3320</v>
      </c>
      <c r="J122" s="23">
        <v>3320</v>
      </c>
      <c r="K122" s="25">
        <f t="shared" si="6"/>
        <v>0</v>
      </c>
      <c r="L122" s="26">
        <f t="shared" si="7"/>
        <v>0</v>
      </c>
      <c r="M122" s="27">
        <v>0</v>
      </c>
      <c r="N122" s="28">
        <f t="shared" si="8"/>
        <v>3320</v>
      </c>
      <c r="O122" s="29">
        <f t="shared" si="9"/>
        <v>3320</v>
      </c>
      <c r="P122" s="29">
        <f t="shared" si="10"/>
        <v>3300</v>
      </c>
      <c r="Q122" s="30" t="e" cm="1">
        <f t="array" aca="1" ref="Q122" ca="1">spellNumber(P122)</f>
        <v>#NAME?</v>
      </c>
      <c r="R122" s="31">
        <f t="shared" si="11"/>
        <v>3500</v>
      </c>
      <c r="S122" s="32">
        <v>0</v>
      </c>
      <c r="T122" s="32">
        <v>4600</v>
      </c>
      <c r="U122" s="32">
        <v>0</v>
      </c>
      <c r="V122" s="32">
        <v>2300</v>
      </c>
      <c r="W122" s="32">
        <v>2300</v>
      </c>
      <c r="X122" s="32">
        <v>2300</v>
      </c>
      <c r="Y122" s="32">
        <v>2300</v>
      </c>
      <c r="Z122" s="32">
        <v>2300</v>
      </c>
      <c r="AA122" s="33">
        <v>3380</v>
      </c>
      <c r="AB122" s="34">
        <v>3400</v>
      </c>
      <c r="AC122" s="35">
        <v>3400</v>
      </c>
      <c r="AD122" s="36"/>
    </row>
    <row r="123" spans="1:30" ht="16.5" customHeight="1" x14ac:dyDescent="0.25">
      <c r="A123" s="19" t="s">
        <v>573</v>
      </c>
      <c r="B123" s="19" t="s">
        <v>574</v>
      </c>
      <c r="C123" s="19" t="s">
        <v>575</v>
      </c>
      <c r="D123" s="19" t="s">
        <v>576</v>
      </c>
      <c r="E123" s="20"/>
      <c r="F123" s="21">
        <v>3</v>
      </c>
      <c r="G123" s="22" t="s">
        <v>577</v>
      </c>
      <c r="H123" s="23">
        <v>6000</v>
      </c>
      <c r="I123" s="24">
        <v>6000</v>
      </c>
      <c r="J123" s="23">
        <v>6000</v>
      </c>
      <c r="K123" s="25">
        <f t="shared" si="6"/>
        <v>0</v>
      </c>
      <c r="L123" s="26">
        <f t="shared" si="7"/>
        <v>0</v>
      </c>
      <c r="M123" s="27">
        <v>0</v>
      </c>
      <c r="N123" s="28">
        <f t="shared" si="8"/>
        <v>6000</v>
      </c>
      <c r="O123" s="29">
        <f t="shared" si="9"/>
        <v>6000</v>
      </c>
      <c r="P123" s="29">
        <f t="shared" si="10"/>
        <v>6000</v>
      </c>
      <c r="Q123" s="30" t="e" cm="1">
        <f t="array" aca="1" ref="Q123" ca="1">spellNumber(P123)</f>
        <v>#NAME?</v>
      </c>
      <c r="R123" s="31">
        <f t="shared" si="11"/>
        <v>6200</v>
      </c>
      <c r="S123" s="32">
        <v>12000</v>
      </c>
      <c r="T123" s="32">
        <v>6000</v>
      </c>
      <c r="U123" s="32">
        <v>6000</v>
      </c>
      <c r="V123" s="32">
        <v>6000</v>
      </c>
      <c r="W123" s="32">
        <v>6000</v>
      </c>
      <c r="X123" s="32">
        <v>6000</v>
      </c>
      <c r="Y123" s="32">
        <v>6000</v>
      </c>
      <c r="Z123" s="32">
        <v>6000</v>
      </c>
      <c r="AA123" s="33">
        <v>6000</v>
      </c>
      <c r="AB123" s="34">
        <v>6000</v>
      </c>
      <c r="AC123" s="35">
        <v>6000</v>
      </c>
      <c r="AD123" s="36"/>
    </row>
    <row r="124" spans="1:30" ht="16.5" customHeight="1" x14ac:dyDescent="0.25">
      <c r="A124" s="19" t="s">
        <v>578</v>
      </c>
      <c r="B124" s="19" t="s">
        <v>579</v>
      </c>
      <c r="C124" s="19" t="s">
        <v>580</v>
      </c>
      <c r="D124" s="19" t="s">
        <v>54</v>
      </c>
      <c r="E124" s="20" t="s">
        <v>34</v>
      </c>
      <c r="F124" s="21">
        <v>1</v>
      </c>
      <c r="G124" s="22" t="s">
        <v>581</v>
      </c>
      <c r="H124" s="23">
        <v>2500</v>
      </c>
      <c r="I124" s="24">
        <v>5000</v>
      </c>
      <c r="J124" s="23">
        <v>5000</v>
      </c>
      <c r="K124" s="25">
        <f t="shared" si="6"/>
        <v>0</v>
      </c>
      <c r="L124" s="26">
        <f t="shared" si="7"/>
        <v>0</v>
      </c>
      <c r="M124" s="27">
        <v>0</v>
      </c>
      <c r="N124" s="28">
        <f t="shared" si="8"/>
        <v>5000</v>
      </c>
      <c r="O124" s="29">
        <f t="shared" si="9"/>
        <v>5000</v>
      </c>
      <c r="P124" s="29">
        <f t="shared" si="10"/>
        <v>5000</v>
      </c>
      <c r="Q124" s="30" t="e" cm="1">
        <f t="array" aca="1" ref="Q124" ca="1">spellNumber(P124)</f>
        <v>#NAME?</v>
      </c>
      <c r="R124" s="31">
        <f t="shared" si="11"/>
        <v>5200</v>
      </c>
      <c r="S124" s="32">
        <v>0</v>
      </c>
      <c r="T124" s="32">
        <v>9500</v>
      </c>
      <c r="U124" s="32">
        <v>2500</v>
      </c>
      <c r="V124" s="32">
        <v>2500</v>
      </c>
      <c r="W124" s="32">
        <v>2500</v>
      </c>
      <c r="X124" s="32">
        <v>2500</v>
      </c>
      <c r="Y124" s="32">
        <v>2500</v>
      </c>
      <c r="Z124" s="32">
        <v>2500</v>
      </c>
      <c r="AA124" s="33">
        <v>2500</v>
      </c>
      <c r="AB124" s="34">
        <v>2500</v>
      </c>
      <c r="AC124" s="35">
        <v>0</v>
      </c>
      <c r="AD124" s="36"/>
    </row>
    <row r="125" spans="1:30" ht="16.5" customHeight="1" x14ac:dyDescent="0.25">
      <c r="A125" s="19" t="s">
        <v>582</v>
      </c>
      <c r="B125" s="19" t="s">
        <v>583</v>
      </c>
      <c r="C125" s="19" t="s">
        <v>401</v>
      </c>
      <c r="D125" s="19" t="s">
        <v>93</v>
      </c>
      <c r="E125" s="20" t="s">
        <v>40</v>
      </c>
      <c r="F125" s="21">
        <v>1</v>
      </c>
      <c r="G125" s="22" t="s">
        <v>584</v>
      </c>
      <c r="H125" s="23">
        <v>2700</v>
      </c>
      <c r="I125" s="24">
        <v>8150</v>
      </c>
      <c r="J125" s="23">
        <v>0</v>
      </c>
      <c r="K125" s="25">
        <f t="shared" si="6"/>
        <v>8150</v>
      </c>
      <c r="L125" s="26">
        <f t="shared" si="7"/>
        <v>3.0185185185185186</v>
      </c>
      <c r="M125" s="27">
        <v>0</v>
      </c>
      <c r="N125" s="28">
        <f t="shared" si="8"/>
        <v>8150</v>
      </c>
      <c r="O125" s="29">
        <f t="shared" si="9"/>
        <v>8150</v>
      </c>
      <c r="P125" s="29">
        <f t="shared" si="10"/>
        <v>8200</v>
      </c>
      <c r="Q125" s="30" t="e" cm="1">
        <f t="array" aca="1" ref="Q125" ca="1">spellNumber(P125)</f>
        <v>#NAME?</v>
      </c>
      <c r="R125" s="31">
        <f t="shared" si="11"/>
        <v>8400</v>
      </c>
      <c r="S125" s="32">
        <v>0</v>
      </c>
      <c r="T125" s="32">
        <v>15400</v>
      </c>
      <c r="U125" s="32">
        <v>0</v>
      </c>
      <c r="V125" s="32">
        <v>0</v>
      </c>
      <c r="W125" s="32">
        <v>0</v>
      </c>
      <c r="X125" s="32">
        <v>5000</v>
      </c>
      <c r="Y125" s="32">
        <v>5800</v>
      </c>
      <c r="Z125" s="32">
        <v>0</v>
      </c>
      <c r="AA125" s="33">
        <v>4050</v>
      </c>
      <c r="AB125" s="34">
        <v>0</v>
      </c>
      <c r="AC125" s="35">
        <v>4000</v>
      </c>
      <c r="AD125" s="36"/>
    </row>
    <row r="126" spans="1:30" ht="16.5" customHeight="1" x14ac:dyDescent="0.25">
      <c r="A126" s="19" t="s">
        <v>585</v>
      </c>
      <c r="B126" s="19" t="s">
        <v>586</v>
      </c>
      <c r="C126" s="19" t="s">
        <v>587</v>
      </c>
      <c r="D126" s="19" t="s">
        <v>93</v>
      </c>
      <c r="E126" s="20" t="s">
        <v>34</v>
      </c>
      <c r="F126" s="21">
        <v>1</v>
      </c>
      <c r="G126" s="22" t="s">
        <v>588</v>
      </c>
      <c r="H126" s="23">
        <v>2500</v>
      </c>
      <c r="I126" s="24">
        <v>2500</v>
      </c>
      <c r="J126" s="23">
        <v>0</v>
      </c>
      <c r="K126" s="25">
        <f t="shared" si="6"/>
        <v>2500</v>
      </c>
      <c r="L126" s="26">
        <f t="shared" si="7"/>
        <v>1</v>
      </c>
      <c r="M126" s="27">
        <v>0</v>
      </c>
      <c r="N126" s="28">
        <f t="shared" si="8"/>
        <v>2500</v>
      </c>
      <c r="O126" s="29">
        <f t="shared" si="9"/>
        <v>2500</v>
      </c>
      <c r="P126" s="29">
        <f t="shared" si="10"/>
        <v>2500</v>
      </c>
      <c r="Q126" s="30" t="e" cm="1">
        <f t="array" aca="1" ref="Q126" ca="1">spellNumber(P126)</f>
        <v>#NAME?</v>
      </c>
      <c r="R126" s="31">
        <f t="shared" si="11"/>
        <v>2700</v>
      </c>
      <c r="S126" s="32">
        <v>0</v>
      </c>
      <c r="T126" s="32">
        <v>9500</v>
      </c>
      <c r="U126" s="32">
        <v>0</v>
      </c>
      <c r="V126" s="32">
        <v>2500</v>
      </c>
      <c r="W126" s="32">
        <v>0</v>
      </c>
      <c r="X126" s="32">
        <v>5000</v>
      </c>
      <c r="Y126" s="32">
        <v>0</v>
      </c>
      <c r="Z126" s="32">
        <v>2500</v>
      </c>
      <c r="AA126" s="33">
        <v>5000</v>
      </c>
      <c r="AB126" s="34">
        <v>2500</v>
      </c>
      <c r="AC126" s="35">
        <v>2500</v>
      </c>
      <c r="AD126" s="36"/>
    </row>
    <row r="127" spans="1:30" ht="16.5" customHeight="1" x14ac:dyDescent="0.25">
      <c r="A127" s="19" t="s">
        <v>589</v>
      </c>
      <c r="B127" s="19" t="s">
        <v>590</v>
      </c>
      <c r="C127" s="19" t="s">
        <v>591</v>
      </c>
      <c r="D127" s="19" t="s">
        <v>93</v>
      </c>
      <c r="E127" s="20" t="s">
        <v>34</v>
      </c>
      <c r="F127" s="21">
        <v>1</v>
      </c>
      <c r="G127" s="22" t="s">
        <v>592</v>
      </c>
      <c r="H127" s="23">
        <v>2700</v>
      </c>
      <c r="I127" s="24">
        <v>10700</v>
      </c>
      <c r="J127" s="23">
        <v>0</v>
      </c>
      <c r="K127" s="25">
        <f t="shared" si="6"/>
        <v>10700</v>
      </c>
      <c r="L127" s="26">
        <f t="shared" si="7"/>
        <v>3.9629629629629628</v>
      </c>
      <c r="M127" s="27">
        <v>0</v>
      </c>
      <c r="N127" s="28">
        <f t="shared" si="8"/>
        <v>10700</v>
      </c>
      <c r="O127" s="29">
        <f t="shared" si="9"/>
        <v>10700</v>
      </c>
      <c r="P127" s="29">
        <f t="shared" si="10"/>
        <v>10700</v>
      </c>
      <c r="Q127" s="30" t="e" cm="1">
        <f t="array" aca="1" ref="Q127" ca="1">spellNumber(P127)</f>
        <v>#NAME?</v>
      </c>
      <c r="R127" s="31">
        <f t="shared" si="11"/>
        <v>10900</v>
      </c>
      <c r="S127" s="32">
        <v>12000</v>
      </c>
      <c r="T127" s="32">
        <v>0</v>
      </c>
      <c r="U127" s="32">
        <v>0</v>
      </c>
      <c r="V127" s="32">
        <v>0</v>
      </c>
      <c r="W127" s="32">
        <v>0</v>
      </c>
      <c r="X127" s="32">
        <v>14500</v>
      </c>
      <c r="Y127" s="32">
        <v>0</v>
      </c>
      <c r="Z127" s="32">
        <v>0</v>
      </c>
      <c r="AA127" s="33">
        <v>5500</v>
      </c>
      <c r="AB127" s="34">
        <v>0</v>
      </c>
      <c r="AC127" s="35">
        <v>0</v>
      </c>
      <c r="AD127" s="36"/>
    </row>
    <row r="128" spans="1:30" ht="16.5" customHeight="1" x14ac:dyDescent="0.25">
      <c r="A128" s="19" t="s">
        <v>593</v>
      </c>
      <c r="B128" s="19" t="s">
        <v>341</v>
      </c>
      <c r="C128" s="19" t="s">
        <v>594</v>
      </c>
      <c r="D128" s="19" t="s">
        <v>93</v>
      </c>
      <c r="E128" s="20" t="s">
        <v>34</v>
      </c>
      <c r="F128" s="21">
        <v>1</v>
      </c>
      <c r="G128" s="22" t="s">
        <v>595</v>
      </c>
      <c r="H128" s="23">
        <v>0</v>
      </c>
      <c r="I128" s="24">
        <v>0</v>
      </c>
      <c r="J128" s="23">
        <v>0</v>
      </c>
      <c r="K128" s="25">
        <f t="shared" si="6"/>
        <v>0</v>
      </c>
      <c r="L128" s="26" t="e">
        <f t="shared" si="7"/>
        <v>#DIV/0!</v>
      </c>
      <c r="M128" s="27">
        <v>0</v>
      </c>
      <c r="N128" s="28">
        <f t="shared" si="8"/>
        <v>0</v>
      </c>
      <c r="O128" s="29">
        <f t="shared" si="9"/>
        <v>0</v>
      </c>
      <c r="P128" s="29">
        <f t="shared" si="10"/>
        <v>0</v>
      </c>
      <c r="Q128" s="30" t="e" cm="1">
        <f t="array" aca="1" ref="Q128" ca="1">spellNumber(P128)</f>
        <v>#NAME?</v>
      </c>
      <c r="R128" s="31">
        <f t="shared" si="11"/>
        <v>200</v>
      </c>
      <c r="S128" s="32">
        <v>0</v>
      </c>
      <c r="T128" s="32">
        <v>0</v>
      </c>
      <c r="U128" s="32">
        <v>2500</v>
      </c>
      <c r="V128" s="32">
        <v>0</v>
      </c>
      <c r="W128" s="32">
        <v>0</v>
      </c>
      <c r="X128" s="32">
        <v>0</v>
      </c>
      <c r="Y128" s="32">
        <v>0</v>
      </c>
      <c r="Z128" s="32">
        <v>0</v>
      </c>
      <c r="AA128" s="33">
        <v>0</v>
      </c>
      <c r="AB128" s="34">
        <v>0</v>
      </c>
      <c r="AC128" s="35">
        <v>0</v>
      </c>
      <c r="AD128" s="36"/>
    </row>
    <row r="129" spans="1:30" ht="16.5" customHeight="1" x14ac:dyDescent="0.25">
      <c r="A129" s="19" t="s">
        <v>596</v>
      </c>
      <c r="B129" s="19" t="s">
        <v>597</v>
      </c>
      <c r="C129" s="19" t="s">
        <v>598</v>
      </c>
      <c r="D129" s="19" t="s">
        <v>93</v>
      </c>
      <c r="E129" s="20" t="s">
        <v>34</v>
      </c>
      <c r="F129" s="21">
        <v>1</v>
      </c>
      <c r="G129" s="22" t="s">
        <v>599</v>
      </c>
      <c r="H129" s="23">
        <v>2400</v>
      </c>
      <c r="I129" s="24">
        <v>2400</v>
      </c>
      <c r="J129" s="23">
        <v>2400</v>
      </c>
      <c r="K129" s="25">
        <f t="shared" si="6"/>
        <v>0</v>
      </c>
      <c r="L129" s="26">
        <f t="shared" si="7"/>
        <v>0</v>
      </c>
      <c r="M129" s="27">
        <v>0</v>
      </c>
      <c r="N129" s="28">
        <f t="shared" si="8"/>
        <v>2400</v>
      </c>
      <c r="O129" s="29">
        <f t="shared" si="9"/>
        <v>2400</v>
      </c>
      <c r="P129" s="29">
        <f t="shared" si="10"/>
        <v>2400</v>
      </c>
      <c r="Q129" s="30" t="e" cm="1">
        <f t="array" aca="1" ref="Q129" ca="1">spellNumber(P129)</f>
        <v>#NAME?</v>
      </c>
      <c r="R129" s="31">
        <f t="shared" si="11"/>
        <v>2600</v>
      </c>
      <c r="S129" s="32">
        <v>3000</v>
      </c>
      <c r="T129" s="32">
        <v>3600</v>
      </c>
      <c r="U129" s="32">
        <v>2500</v>
      </c>
      <c r="V129" s="32">
        <v>0</v>
      </c>
      <c r="W129" s="32">
        <v>0</v>
      </c>
      <c r="X129" s="32">
        <v>4000</v>
      </c>
      <c r="Y129" s="32">
        <v>5000</v>
      </c>
      <c r="Z129" s="32">
        <v>2300</v>
      </c>
      <c r="AA129" s="33">
        <v>2400</v>
      </c>
      <c r="AB129" s="34">
        <v>2400</v>
      </c>
      <c r="AC129" s="35">
        <v>2400</v>
      </c>
      <c r="AD129" s="36"/>
    </row>
    <row r="130" spans="1:30" ht="16.5" customHeight="1" x14ac:dyDescent="0.25">
      <c r="A130" s="19" t="s">
        <v>600</v>
      </c>
      <c r="B130" s="19" t="s">
        <v>601</v>
      </c>
      <c r="C130" s="19" t="s">
        <v>602</v>
      </c>
      <c r="D130" s="19" t="s">
        <v>93</v>
      </c>
      <c r="E130" s="20" t="s">
        <v>34</v>
      </c>
      <c r="F130" s="21">
        <v>1</v>
      </c>
      <c r="G130" s="22" t="s">
        <v>603</v>
      </c>
      <c r="H130" s="23">
        <v>2600</v>
      </c>
      <c r="I130" s="24">
        <v>2800</v>
      </c>
      <c r="J130" s="23">
        <v>2800</v>
      </c>
      <c r="K130" s="25">
        <f t="shared" ref="K130:K193" si="12">I130-J130</f>
        <v>0</v>
      </c>
      <c r="L130" s="26">
        <f t="shared" ref="L130:L193" si="13">K130/H130</f>
        <v>0</v>
      </c>
      <c r="M130" s="27">
        <v>0</v>
      </c>
      <c r="N130" s="28">
        <f t="shared" ref="N130:N193" si="14">I130+M130</f>
        <v>2800</v>
      </c>
      <c r="O130" s="29">
        <f t="shared" si="9"/>
        <v>2800</v>
      </c>
      <c r="P130" s="29">
        <f t="shared" si="10"/>
        <v>2800</v>
      </c>
      <c r="Q130" s="30" t="e" cm="1">
        <f t="array" aca="1" ref="Q130" ca="1">spellNumber(P130)</f>
        <v>#NAME?</v>
      </c>
      <c r="R130" s="31">
        <f t="shared" si="11"/>
        <v>3000</v>
      </c>
      <c r="S130" s="32">
        <v>2600</v>
      </c>
      <c r="T130" s="32">
        <v>2600</v>
      </c>
      <c r="U130" s="32">
        <v>2600</v>
      </c>
      <c r="V130" s="32">
        <v>2600</v>
      </c>
      <c r="W130" s="32">
        <v>0</v>
      </c>
      <c r="X130" s="32">
        <v>5200</v>
      </c>
      <c r="Y130" s="32">
        <v>2600</v>
      </c>
      <c r="Z130" s="32">
        <v>3100</v>
      </c>
      <c r="AA130" s="33">
        <v>3100</v>
      </c>
      <c r="AB130" s="34">
        <v>3600</v>
      </c>
      <c r="AC130" s="35">
        <v>2900</v>
      </c>
      <c r="AD130" s="36"/>
    </row>
    <row r="131" spans="1:30" ht="16.5" customHeight="1" x14ac:dyDescent="0.25">
      <c r="A131" s="19" t="s">
        <v>604</v>
      </c>
      <c r="B131" s="19" t="s">
        <v>605</v>
      </c>
      <c r="C131" s="19" t="s">
        <v>606</v>
      </c>
      <c r="D131" s="19" t="s">
        <v>93</v>
      </c>
      <c r="E131" s="20" t="s">
        <v>40</v>
      </c>
      <c r="F131" s="21">
        <v>1</v>
      </c>
      <c r="G131" s="22" t="s">
        <v>607</v>
      </c>
      <c r="H131" s="23">
        <v>2600</v>
      </c>
      <c r="I131" s="24">
        <v>2600</v>
      </c>
      <c r="J131" s="23">
        <v>2600</v>
      </c>
      <c r="K131" s="25">
        <f t="shared" si="12"/>
        <v>0</v>
      </c>
      <c r="L131" s="26">
        <f t="shared" si="13"/>
        <v>0</v>
      </c>
      <c r="M131" s="27">
        <v>0</v>
      </c>
      <c r="N131" s="28">
        <f t="shared" si="14"/>
        <v>2600</v>
      </c>
      <c r="O131" s="29">
        <f t="shared" ref="O131:O194" si="15">N131/1</f>
        <v>2600</v>
      </c>
      <c r="P131" s="29">
        <f t="shared" ref="P131:P194" si="16">ROUND(O131,-2)</f>
        <v>2600</v>
      </c>
      <c r="Q131" s="30" t="e" cm="1">
        <f t="array" aca="1" ref="Q131" ca="1">spellNumber(P131)</f>
        <v>#NAME?</v>
      </c>
      <c r="R131" s="31">
        <f t="shared" ref="R131:R194" si="17">P131+200</f>
        <v>2800</v>
      </c>
      <c r="S131" s="32">
        <v>5100</v>
      </c>
      <c r="T131" s="32">
        <v>2600</v>
      </c>
      <c r="U131" s="32">
        <v>2600</v>
      </c>
      <c r="V131" s="32">
        <v>2600</v>
      </c>
      <c r="W131" s="32">
        <v>2600</v>
      </c>
      <c r="X131" s="32">
        <v>2600</v>
      </c>
      <c r="Y131" s="32">
        <v>2600</v>
      </c>
      <c r="Z131" s="32">
        <v>2600</v>
      </c>
      <c r="AA131" s="33">
        <v>2600</v>
      </c>
      <c r="AB131" s="34">
        <v>2600</v>
      </c>
      <c r="AC131" s="35">
        <v>2600</v>
      </c>
      <c r="AD131" s="36"/>
    </row>
    <row r="132" spans="1:30" ht="16.5" customHeight="1" x14ac:dyDescent="0.25">
      <c r="A132" s="19" t="s">
        <v>608</v>
      </c>
      <c r="B132" s="19" t="s">
        <v>609</v>
      </c>
      <c r="C132" s="19" t="s">
        <v>610</v>
      </c>
      <c r="D132" s="19" t="s">
        <v>33</v>
      </c>
      <c r="E132" s="20" t="s">
        <v>34</v>
      </c>
      <c r="F132" s="21">
        <v>2</v>
      </c>
      <c r="G132" s="22" t="s">
        <v>611</v>
      </c>
      <c r="H132" s="23">
        <v>4500</v>
      </c>
      <c r="I132" s="24">
        <v>4500</v>
      </c>
      <c r="J132" s="23">
        <v>4500</v>
      </c>
      <c r="K132" s="25">
        <f t="shared" si="12"/>
        <v>0</v>
      </c>
      <c r="L132" s="26">
        <f t="shared" si="13"/>
        <v>0</v>
      </c>
      <c r="M132" s="27">
        <v>0</v>
      </c>
      <c r="N132" s="28">
        <f t="shared" si="14"/>
        <v>4500</v>
      </c>
      <c r="O132" s="29">
        <f t="shared" si="15"/>
        <v>4500</v>
      </c>
      <c r="P132" s="29">
        <f t="shared" si="16"/>
        <v>4500</v>
      </c>
      <c r="Q132" s="30" t="e" cm="1">
        <f t="array" aca="1" ref="Q132" ca="1">spellNumber(P132)</f>
        <v>#NAME?</v>
      </c>
      <c r="R132" s="31">
        <f t="shared" si="17"/>
        <v>4700</v>
      </c>
      <c r="S132" s="32">
        <v>8600</v>
      </c>
      <c r="T132" s="32">
        <v>4500</v>
      </c>
      <c r="U132" s="32">
        <v>4400</v>
      </c>
      <c r="V132" s="32">
        <v>0</v>
      </c>
      <c r="W132" s="32">
        <v>0</v>
      </c>
      <c r="X132" s="32">
        <v>13500</v>
      </c>
      <c r="Y132" s="32">
        <v>4500</v>
      </c>
      <c r="Z132" s="32">
        <v>4500</v>
      </c>
      <c r="AA132" s="33">
        <v>4500</v>
      </c>
      <c r="AB132" s="34">
        <v>4500</v>
      </c>
      <c r="AC132" s="35">
        <v>4500</v>
      </c>
      <c r="AD132" s="36"/>
    </row>
    <row r="133" spans="1:30" ht="16.5" customHeight="1" x14ac:dyDescent="0.25">
      <c r="A133" s="19" t="s">
        <v>612</v>
      </c>
      <c r="B133" s="19" t="s">
        <v>613</v>
      </c>
      <c r="C133" s="19" t="s">
        <v>614</v>
      </c>
      <c r="D133" s="19" t="s">
        <v>615</v>
      </c>
      <c r="E133" s="20" t="s">
        <v>34</v>
      </c>
      <c r="F133" s="21">
        <v>2</v>
      </c>
      <c r="G133" s="22" t="s">
        <v>616</v>
      </c>
      <c r="H133" s="23">
        <v>4200</v>
      </c>
      <c r="I133" s="24">
        <v>3950</v>
      </c>
      <c r="J133" s="23">
        <v>4000</v>
      </c>
      <c r="K133" s="25">
        <f t="shared" si="12"/>
        <v>-50</v>
      </c>
      <c r="L133" s="26">
        <f t="shared" si="13"/>
        <v>-1.1904761904761904E-2</v>
      </c>
      <c r="M133" s="27">
        <v>0</v>
      </c>
      <c r="N133" s="28">
        <f t="shared" si="14"/>
        <v>3950</v>
      </c>
      <c r="O133" s="29">
        <f t="shared" si="15"/>
        <v>3950</v>
      </c>
      <c r="P133" s="29">
        <f t="shared" si="16"/>
        <v>4000</v>
      </c>
      <c r="Q133" s="30" t="e" cm="1">
        <f t="array" aca="1" ref="Q133" ca="1">spellNumber(P133)</f>
        <v>#NAME?</v>
      </c>
      <c r="R133" s="31">
        <f t="shared" si="17"/>
        <v>4200</v>
      </c>
      <c r="S133" s="32">
        <v>4200</v>
      </c>
      <c r="T133" s="32">
        <v>4200</v>
      </c>
      <c r="U133" s="32">
        <v>5000</v>
      </c>
      <c r="V133" s="32">
        <v>5000</v>
      </c>
      <c r="W133" s="32">
        <v>5000</v>
      </c>
      <c r="X133" s="32">
        <v>5000</v>
      </c>
      <c r="Y133" s="32">
        <v>5000</v>
      </c>
      <c r="Z133" s="32">
        <v>5200</v>
      </c>
      <c r="AA133" s="33">
        <v>3950</v>
      </c>
      <c r="AB133" s="34">
        <v>4000</v>
      </c>
      <c r="AC133" s="35">
        <v>3900</v>
      </c>
      <c r="AD133" s="36"/>
    </row>
    <row r="134" spans="1:30" ht="16.5" customHeight="1" x14ac:dyDescent="0.25">
      <c r="A134" s="19" t="s">
        <v>617</v>
      </c>
      <c r="B134" s="19" t="s">
        <v>618</v>
      </c>
      <c r="C134" s="19" t="s">
        <v>619</v>
      </c>
      <c r="D134" s="19" t="s">
        <v>620</v>
      </c>
      <c r="E134" s="20" t="s">
        <v>34</v>
      </c>
      <c r="F134" s="21">
        <v>3</v>
      </c>
      <c r="G134" s="22" t="s">
        <v>621</v>
      </c>
      <c r="H134" s="23">
        <v>6000</v>
      </c>
      <c r="I134" s="24">
        <v>7800</v>
      </c>
      <c r="J134" s="23">
        <v>7800</v>
      </c>
      <c r="K134" s="25">
        <f t="shared" si="12"/>
        <v>0</v>
      </c>
      <c r="L134" s="26">
        <f t="shared" si="13"/>
        <v>0</v>
      </c>
      <c r="M134" s="27">
        <v>0</v>
      </c>
      <c r="N134" s="28">
        <f t="shared" si="14"/>
        <v>7800</v>
      </c>
      <c r="O134" s="29">
        <f t="shared" si="15"/>
        <v>7800</v>
      </c>
      <c r="P134" s="29">
        <f t="shared" si="16"/>
        <v>7800</v>
      </c>
      <c r="Q134" s="30" t="e" cm="1">
        <f t="array" aca="1" ref="Q134" ca="1">spellNumber(P134)</f>
        <v>#NAME?</v>
      </c>
      <c r="R134" s="31">
        <f t="shared" si="17"/>
        <v>8000</v>
      </c>
      <c r="S134" s="32">
        <v>0</v>
      </c>
      <c r="T134" s="32">
        <v>5000</v>
      </c>
      <c r="U134" s="32">
        <v>10000</v>
      </c>
      <c r="V134" s="32">
        <v>7000</v>
      </c>
      <c r="W134" s="32">
        <v>7000</v>
      </c>
      <c r="X134" s="32">
        <v>7000</v>
      </c>
      <c r="Y134" s="32">
        <v>6000</v>
      </c>
      <c r="Z134" s="32">
        <v>8400</v>
      </c>
      <c r="AA134" s="33">
        <v>6900</v>
      </c>
      <c r="AB134" s="34">
        <v>6900</v>
      </c>
      <c r="AC134" s="35">
        <v>6000</v>
      </c>
      <c r="AD134" s="36"/>
    </row>
    <row r="135" spans="1:30" ht="16.5" customHeight="1" x14ac:dyDescent="0.25">
      <c r="A135" s="19" t="s">
        <v>622</v>
      </c>
      <c r="B135" s="19" t="s">
        <v>623</v>
      </c>
      <c r="C135" s="19" t="s">
        <v>536</v>
      </c>
      <c r="D135" s="19" t="s">
        <v>33</v>
      </c>
      <c r="E135" s="20" t="s">
        <v>34</v>
      </c>
      <c r="F135" s="21">
        <v>2</v>
      </c>
      <c r="G135" s="22" t="s">
        <v>624</v>
      </c>
      <c r="H135" s="23">
        <v>3900</v>
      </c>
      <c r="I135" s="24">
        <v>5300</v>
      </c>
      <c r="J135" s="23">
        <v>5300</v>
      </c>
      <c r="K135" s="25">
        <f t="shared" si="12"/>
        <v>0</v>
      </c>
      <c r="L135" s="26">
        <f t="shared" si="13"/>
        <v>0</v>
      </c>
      <c r="M135" s="27">
        <v>0</v>
      </c>
      <c r="N135" s="28">
        <f t="shared" si="14"/>
        <v>5300</v>
      </c>
      <c r="O135" s="29">
        <f t="shared" si="15"/>
        <v>5300</v>
      </c>
      <c r="P135" s="29">
        <f t="shared" si="16"/>
        <v>5300</v>
      </c>
      <c r="Q135" s="30" t="e" cm="1">
        <f t="array" aca="1" ref="Q135" ca="1">spellNumber(P135)</f>
        <v>#NAME?</v>
      </c>
      <c r="R135" s="31">
        <f t="shared" si="17"/>
        <v>5500</v>
      </c>
      <c r="S135" s="32">
        <v>3900</v>
      </c>
      <c r="T135" s="32">
        <v>3900</v>
      </c>
      <c r="U135" s="32">
        <v>3900</v>
      </c>
      <c r="V135" s="32">
        <v>0</v>
      </c>
      <c r="W135" s="32">
        <v>0</v>
      </c>
      <c r="X135" s="32">
        <v>5000</v>
      </c>
      <c r="Y135" s="32">
        <v>5000</v>
      </c>
      <c r="Z135" s="32">
        <v>7000</v>
      </c>
      <c r="AA135" s="33">
        <v>6000</v>
      </c>
      <c r="AB135" s="34">
        <v>5400</v>
      </c>
      <c r="AC135" s="35">
        <v>5400</v>
      </c>
      <c r="AD135" s="36"/>
    </row>
    <row r="136" spans="1:30" ht="16.5" customHeight="1" x14ac:dyDescent="0.25">
      <c r="A136" s="19" t="s">
        <v>625</v>
      </c>
      <c r="B136" s="19" t="s">
        <v>626</v>
      </c>
      <c r="C136" s="19" t="s">
        <v>627</v>
      </c>
      <c r="D136" s="19" t="s">
        <v>93</v>
      </c>
      <c r="E136" s="20" t="s">
        <v>34</v>
      </c>
      <c r="F136" s="21">
        <v>1</v>
      </c>
      <c r="G136" s="22" t="s">
        <v>628</v>
      </c>
      <c r="H136" s="23">
        <v>2200</v>
      </c>
      <c r="I136" s="24">
        <v>2200</v>
      </c>
      <c r="J136" s="23">
        <v>2200</v>
      </c>
      <c r="K136" s="25">
        <f t="shared" si="12"/>
        <v>0</v>
      </c>
      <c r="L136" s="26">
        <f t="shared" si="13"/>
        <v>0</v>
      </c>
      <c r="M136" s="27">
        <v>0</v>
      </c>
      <c r="N136" s="28">
        <f t="shared" si="14"/>
        <v>2200</v>
      </c>
      <c r="O136" s="29">
        <f t="shared" si="15"/>
        <v>2200</v>
      </c>
      <c r="P136" s="29">
        <f t="shared" si="16"/>
        <v>2200</v>
      </c>
      <c r="Q136" s="30" t="e" cm="1">
        <f t="array" aca="1" ref="Q136" ca="1">spellNumber(P136)</f>
        <v>#NAME?</v>
      </c>
      <c r="R136" s="31">
        <f t="shared" si="17"/>
        <v>2400</v>
      </c>
      <c r="S136" s="32">
        <v>3500</v>
      </c>
      <c r="T136" s="32">
        <v>2200</v>
      </c>
      <c r="U136" s="32">
        <v>2200</v>
      </c>
      <c r="V136" s="32">
        <v>2200</v>
      </c>
      <c r="W136" s="32">
        <v>2200</v>
      </c>
      <c r="X136" s="32">
        <v>2200</v>
      </c>
      <c r="Y136" s="32">
        <v>2200</v>
      </c>
      <c r="Z136" s="32">
        <v>3200</v>
      </c>
      <c r="AA136" s="33">
        <v>2200</v>
      </c>
      <c r="AB136" s="34">
        <v>2200</v>
      </c>
      <c r="AC136" s="35">
        <v>3200</v>
      </c>
      <c r="AD136" s="36"/>
    </row>
    <row r="137" spans="1:30" ht="16.5" customHeight="1" x14ac:dyDescent="0.25">
      <c r="A137" s="19" t="s">
        <v>629</v>
      </c>
      <c r="B137" s="19" t="s">
        <v>630</v>
      </c>
      <c r="C137" s="19" t="s">
        <v>631</v>
      </c>
      <c r="D137" s="19" t="s">
        <v>33</v>
      </c>
      <c r="E137" s="20" t="s">
        <v>34</v>
      </c>
      <c r="F137" s="21">
        <v>2</v>
      </c>
      <c r="G137" s="22" t="s">
        <v>303</v>
      </c>
      <c r="H137" s="23">
        <v>3800</v>
      </c>
      <c r="I137" s="24">
        <v>9400</v>
      </c>
      <c r="J137" s="23">
        <v>9400</v>
      </c>
      <c r="K137" s="25">
        <f t="shared" si="12"/>
        <v>0</v>
      </c>
      <c r="L137" s="26">
        <f t="shared" si="13"/>
        <v>0</v>
      </c>
      <c r="M137" s="27">
        <v>0</v>
      </c>
      <c r="N137" s="28">
        <f t="shared" si="14"/>
        <v>9400</v>
      </c>
      <c r="O137" s="29">
        <f t="shared" si="15"/>
        <v>9400</v>
      </c>
      <c r="P137" s="29">
        <f t="shared" si="16"/>
        <v>9400</v>
      </c>
      <c r="Q137" s="30" t="e" cm="1">
        <f t="array" aca="1" ref="Q137" ca="1">spellNumber(P137)</f>
        <v>#NAME?</v>
      </c>
      <c r="R137" s="31">
        <f t="shared" si="17"/>
        <v>9600</v>
      </c>
      <c r="S137" s="32">
        <v>4000</v>
      </c>
      <c r="T137" s="32">
        <v>0</v>
      </c>
      <c r="U137" s="32">
        <v>11400</v>
      </c>
      <c r="V137" s="32">
        <v>0</v>
      </c>
      <c r="W137" s="32">
        <v>2200</v>
      </c>
      <c r="X137" s="32">
        <v>7600</v>
      </c>
      <c r="Y137" s="32">
        <v>0</v>
      </c>
      <c r="Z137" s="32">
        <v>8000</v>
      </c>
      <c r="AA137" s="33">
        <v>7000</v>
      </c>
      <c r="AB137" s="34">
        <v>0</v>
      </c>
      <c r="AC137" s="35">
        <v>0</v>
      </c>
      <c r="AD137" s="36"/>
    </row>
    <row r="138" spans="1:30" ht="16.5" customHeight="1" x14ac:dyDescent="0.25">
      <c r="A138" s="19" t="s">
        <v>632</v>
      </c>
      <c r="B138" s="19" t="s">
        <v>633</v>
      </c>
      <c r="C138" s="19" t="s">
        <v>634</v>
      </c>
      <c r="D138" s="19" t="s">
        <v>635</v>
      </c>
      <c r="E138" s="20" t="s">
        <v>34</v>
      </c>
      <c r="F138" s="21">
        <v>3</v>
      </c>
      <c r="G138" s="22" t="s">
        <v>636</v>
      </c>
      <c r="H138" s="23">
        <v>4500</v>
      </c>
      <c r="I138" s="24">
        <v>5000</v>
      </c>
      <c r="J138" s="23">
        <v>5000</v>
      </c>
      <c r="K138" s="25">
        <f t="shared" si="12"/>
        <v>0</v>
      </c>
      <c r="L138" s="26">
        <f t="shared" si="13"/>
        <v>0</v>
      </c>
      <c r="M138" s="27">
        <v>0</v>
      </c>
      <c r="N138" s="28">
        <f t="shared" si="14"/>
        <v>5000</v>
      </c>
      <c r="O138" s="29">
        <f t="shared" si="15"/>
        <v>5000</v>
      </c>
      <c r="P138" s="29">
        <f t="shared" si="16"/>
        <v>5000</v>
      </c>
      <c r="Q138" s="30" t="e" cm="1">
        <f t="array" aca="1" ref="Q138" ca="1">spellNumber(P138)</f>
        <v>#NAME?</v>
      </c>
      <c r="R138" s="31">
        <f t="shared" si="17"/>
        <v>5200</v>
      </c>
      <c r="S138" s="32">
        <v>5500</v>
      </c>
      <c r="T138" s="32">
        <v>5000</v>
      </c>
      <c r="U138" s="32">
        <v>5000</v>
      </c>
      <c r="V138" s="32">
        <v>0</v>
      </c>
      <c r="W138" s="32">
        <v>0</v>
      </c>
      <c r="X138" s="32">
        <v>9500</v>
      </c>
      <c r="Y138" s="32">
        <v>7000</v>
      </c>
      <c r="Z138" s="32">
        <v>5000</v>
      </c>
      <c r="AA138" s="33">
        <v>5000</v>
      </c>
      <c r="AB138" s="34">
        <v>5000</v>
      </c>
      <c r="AC138" s="35">
        <v>5000</v>
      </c>
      <c r="AD138" s="36"/>
    </row>
    <row r="139" spans="1:30" ht="16.5" customHeight="1" x14ac:dyDescent="0.25">
      <c r="A139" s="19" t="s">
        <v>637</v>
      </c>
      <c r="B139" s="19" t="s">
        <v>638</v>
      </c>
      <c r="C139" s="19" t="s">
        <v>97</v>
      </c>
      <c r="D139" s="19" t="s">
        <v>639</v>
      </c>
      <c r="E139" s="20" t="s">
        <v>40</v>
      </c>
      <c r="F139" s="21">
        <v>3</v>
      </c>
      <c r="G139" s="22" t="s">
        <v>640</v>
      </c>
      <c r="H139" s="23">
        <v>5600</v>
      </c>
      <c r="I139" s="24">
        <v>7620</v>
      </c>
      <c r="J139" s="23">
        <v>7620</v>
      </c>
      <c r="K139" s="25">
        <f t="shared" si="12"/>
        <v>0</v>
      </c>
      <c r="L139" s="26">
        <f t="shared" si="13"/>
        <v>0</v>
      </c>
      <c r="M139" s="27">
        <v>0</v>
      </c>
      <c r="N139" s="28">
        <f t="shared" si="14"/>
        <v>7620</v>
      </c>
      <c r="O139" s="29">
        <f t="shared" si="15"/>
        <v>7620</v>
      </c>
      <c r="P139" s="29">
        <f t="shared" si="16"/>
        <v>7600</v>
      </c>
      <c r="Q139" s="30" t="e" cm="1">
        <f t="array" aca="1" ref="Q139" ca="1">spellNumber(P139)</f>
        <v>#NAME?</v>
      </c>
      <c r="R139" s="31">
        <f t="shared" si="17"/>
        <v>7800</v>
      </c>
      <c r="S139" s="32">
        <v>10000</v>
      </c>
      <c r="T139" s="32">
        <v>0</v>
      </c>
      <c r="U139" s="32">
        <v>10000</v>
      </c>
      <c r="V139" s="32">
        <v>0</v>
      </c>
      <c r="W139" s="32">
        <v>0</v>
      </c>
      <c r="X139" s="32">
        <v>10000</v>
      </c>
      <c r="Y139" s="32">
        <v>9000</v>
      </c>
      <c r="Z139" s="32">
        <v>7640</v>
      </c>
      <c r="AA139" s="33">
        <v>7640</v>
      </c>
      <c r="AB139" s="34">
        <v>7600</v>
      </c>
      <c r="AC139" s="35">
        <v>7700</v>
      </c>
      <c r="AD139" s="36"/>
    </row>
    <row r="140" spans="1:30" ht="16.5" customHeight="1" x14ac:dyDescent="0.25">
      <c r="A140" s="19" t="s">
        <v>641</v>
      </c>
      <c r="B140" s="19" t="s">
        <v>642</v>
      </c>
      <c r="C140" s="19" t="s">
        <v>116</v>
      </c>
      <c r="D140" s="19" t="s">
        <v>643</v>
      </c>
      <c r="E140" s="20" t="s">
        <v>40</v>
      </c>
      <c r="F140" s="21">
        <v>2</v>
      </c>
      <c r="G140" s="22" t="s">
        <v>644</v>
      </c>
      <c r="H140" s="23">
        <v>4500</v>
      </c>
      <c r="I140" s="24">
        <v>4500</v>
      </c>
      <c r="J140" s="23">
        <v>4500</v>
      </c>
      <c r="K140" s="25">
        <f t="shared" si="12"/>
        <v>0</v>
      </c>
      <c r="L140" s="26">
        <f t="shared" si="13"/>
        <v>0</v>
      </c>
      <c r="M140" s="27">
        <v>0</v>
      </c>
      <c r="N140" s="28">
        <f t="shared" si="14"/>
        <v>4500</v>
      </c>
      <c r="O140" s="29">
        <f t="shared" si="15"/>
        <v>4500</v>
      </c>
      <c r="P140" s="29">
        <f t="shared" si="16"/>
        <v>4500</v>
      </c>
      <c r="Q140" s="30" t="e" cm="1">
        <f t="array" aca="1" ref="Q140" ca="1">spellNumber(P140)</f>
        <v>#NAME?</v>
      </c>
      <c r="R140" s="31">
        <f t="shared" si="17"/>
        <v>4700</v>
      </c>
      <c r="S140" s="32">
        <v>8500</v>
      </c>
      <c r="T140" s="32">
        <v>0</v>
      </c>
      <c r="U140" s="32">
        <v>9000</v>
      </c>
      <c r="V140" s="32">
        <v>0</v>
      </c>
      <c r="W140" s="32">
        <v>9000</v>
      </c>
      <c r="X140" s="32">
        <v>9000</v>
      </c>
      <c r="Y140" s="32">
        <v>0</v>
      </c>
      <c r="Z140" s="32">
        <v>4500</v>
      </c>
      <c r="AA140" s="33">
        <v>4500</v>
      </c>
      <c r="AB140" s="34">
        <v>4500</v>
      </c>
      <c r="AC140" s="35">
        <v>4500</v>
      </c>
      <c r="AD140" s="36"/>
    </row>
    <row r="141" spans="1:30" ht="16.5" customHeight="1" x14ac:dyDescent="0.25">
      <c r="A141" s="19" t="s">
        <v>645</v>
      </c>
      <c r="B141" s="19" t="s">
        <v>646</v>
      </c>
      <c r="C141" s="19" t="s">
        <v>647</v>
      </c>
      <c r="D141" s="19" t="s">
        <v>93</v>
      </c>
      <c r="E141" s="20" t="s">
        <v>40</v>
      </c>
      <c r="F141" s="21">
        <v>1</v>
      </c>
      <c r="G141" s="22" t="s">
        <v>648</v>
      </c>
      <c r="H141" s="23">
        <v>0</v>
      </c>
      <c r="I141" s="24">
        <v>0</v>
      </c>
      <c r="J141" s="23">
        <v>0</v>
      </c>
      <c r="K141" s="25">
        <f t="shared" si="12"/>
        <v>0</v>
      </c>
      <c r="L141" s="26" t="e">
        <f t="shared" si="13"/>
        <v>#DIV/0!</v>
      </c>
      <c r="M141" s="27">
        <v>0</v>
      </c>
      <c r="N141" s="28">
        <f t="shared" si="14"/>
        <v>0</v>
      </c>
      <c r="O141" s="29">
        <f t="shared" si="15"/>
        <v>0</v>
      </c>
      <c r="P141" s="29">
        <f t="shared" si="16"/>
        <v>0</v>
      </c>
      <c r="Q141" s="30" t="e" cm="1">
        <f t="array" aca="1" ref="Q141" ca="1">spellNumber(P141)</f>
        <v>#NAME?</v>
      </c>
      <c r="R141" s="31">
        <f t="shared" si="17"/>
        <v>200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  <c r="X141" s="32">
        <v>0</v>
      </c>
      <c r="Y141" s="32">
        <v>0</v>
      </c>
      <c r="Z141" s="32">
        <v>0</v>
      </c>
      <c r="AA141" s="33">
        <v>0</v>
      </c>
      <c r="AB141" s="34">
        <v>0</v>
      </c>
      <c r="AC141" s="35">
        <v>0</v>
      </c>
      <c r="AD141" s="36"/>
    </row>
    <row r="142" spans="1:30" ht="16.5" customHeight="1" x14ac:dyDescent="0.25">
      <c r="A142" s="19" t="s">
        <v>649</v>
      </c>
      <c r="B142" s="19" t="s">
        <v>650</v>
      </c>
      <c r="C142" s="19" t="s">
        <v>651</v>
      </c>
      <c r="D142" s="19" t="s">
        <v>652</v>
      </c>
      <c r="E142" s="20" t="s">
        <v>34</v>
      </c>
      <c r="F142" s="21">
        <v>2</v>
      </c>
      <c r="G142" s="22" t="s">
        <v>653</v>
      </c>
      <c r="H142" s="23">
        <v>5000</v>
      </c>
      <c r="I142" s="24">
        <v>65300</v>
      </c>
      <c r="J142" s="23">
        <v>13000</v>
      </c>
      <c r="K142" s="25">
        <f t="shared" si="12"/>
        <v>52300</v>
      </c>
      <c r="L142" s="26">
        <f t="shared" si="13"/>
        <v>10.46</v>
      </c>
      <c r="M142" s="27">
        <v>0</v>
      </c>
      <c r="N142" s="28">
        <f t="shared" si="14"/>
        <v>65300</v>
      </c>
      <c r="O142" s="29">
        <f t="shared" si="15"/>
        <v>65300</v>
      </c>
      <c r="P142" s="29">
        <f t="shared" si="16"/>
        <v>65300</v>
      </c>
      <c r="Q142" s="30" t="e" cm="1">
        <f t="array" aca="1" ref="Q142" ca="1">spellNumber(P142)</f>
        <v>#NAME?</v>
      </c>
      <c r="R142" s="31">
        <f t="shared" si="17"/>
        <v>65500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  <c r="X142" s="32">
        <v>0</v>
      </c>
      <c r="Y142" s="32">
        <v>0</v>
      </c>
      <c r="Z142" s="32">
        <v>0</v>
      </c>
      <c r="AA142" s="33">
        <v>5000</v>
      </c>
      <c r="AB142" s="34">
        <v>10000</v>
      </c>
      <c r="AC142" s="35">
        <v>10000</v>
      </c>
      <c r="AD142" s="36"/>
    </row>
    <row r="143" spans="1:30" ht="16.5" customHeight="1" x14ac:dyDescent="0.25">
      <c r="A143" s="19" t="s">
        <v>654</v>
      </c>
      <c r="B143" s="19" t="s">
        <v>655</v>
      </c>
      <c r="C143" s="19" t="s">
        <v>656</v>
      </c>
      <c r="D143" s="19" t="s">
        <v>657</v>
      </c>
      <c r="E143" s="20" t="s">
        <v>34</v>
      </c>
      <c r="F143" s="21">
        <v>3</v>
      </c>
      <c r="G143" s="22" t="s">
        <v>658</v>
      </c>
      <c r="H143" s="23">
        <v>5000</v>
      </c>
      <c r="I143" s="24">
        <v>5000</v>
      </c>
      <c r="J143" s="23">
        <v>5000</v>
      </c>
      <c r="K143" s="25">
        <f t="shared" si="12"/>
        <v>0</v>
      </c>
      <c r="L143" s="26">
        <f t="shared" si="13"/>
        <v>0</v>
      </c>
      <c r="M143" s="27">
        <v>0</v>
      </c>
      <c r="N143" s="28">
        <f t="shared" si="14"/>
        <v>5000</v>
      </c>
      <c r="O143" s="29">
        <f t="shared" si="15"/>
        <v>5000</v>
      </c>
      <c r="P143" s="29">
        <f t="shared" si="16"/>
        <v>5000</v>
      </c>
      <c r="Q143" s="30" t="e" cm="1">
        <f t="array" aca="1" ref="Q143" ca="1">spellNumber(P143)</f>
        <v>#NAME?</v>
      </c>
      <c r="R143" s="31">
        <f t="shared" si="17"/>
        <v>5200</v>
      </c>
      <c r="S143" s="32">
        <v>0</v>
      </c>
      <c r="T143" s="32">
        <v>7000</v>
      </c>
      <c r="U143" s="32">
        <v>5000</v>
      </c>
      <c r="V143" s="32">
        <v>7000</v>
      </c>
      <c r="W143" s="32">
        <v>6000</v>
      </c>
      <c r="X143" s="32">
        <v>6000</v>
      </c>
      <c r="Y143" s="32">
        <v>6000</v>
      </c>
      <c r="Z143" s="32">
        <v>7000</v>
      </c>
      <c r="AA143" s="33">
        <v>6000</v>
      </c>
      <c r="AB143" s="34">
        <v>5000</v>
      </c>
      <c r="AC143" s="35">
        <v>5000</v>
      </c>
      <c r="AD143" s="36"/>
    </row>
    <row r="144" spans="1:30" ht="16.5" customHeight="1" x14ac:dyDescent="0.25">
      <c r="A144" s="19" t="s">
        <v>659</v>
      </c>
      <c r="B144" s="19" t="s">
        <v>660</v>
      </c>
      <c r="C144" s="19" t="s">
        <v>661</v>
      </c>
      <c r="D144" s="19" t="s">
        <v>662</v>
      </c>
      <c r="E144" s="20" t="s">
        <v>34</v>
      </c>
      <c r="F144" s="21">
        <v>3</v>
      </c>
      <c r="G144" s="47" t="s">
        <v>152</v>
      </c>
      <c r="H144" s="23">
        <v>6000</v>
      </c>
      <c r="I144" s="24">
        <v>8725</v>
      </c>
      <c r="J144" s="23">
        <v>8725</v>
      </c>
      <c r="K144" s="25">
        <f t="shared" si="12"/>
        <v>0</v>
      </c>
      <c r="L144" s="26">
        <f t="shared" si="13"/>
        <v>0</v>
      </c>
      <c r="M144" s="27">
        <v>0</v>
      </c>
      <c r="N144" s="28">
        <f t="shared" si="14"/>
        <v>8725</v>
      </c>
      <c r="O144" s="29">
        <f t="shared" si="15"/>
        <v>8725</v>
      </c>
      <c r="P144" s="29">
        <f t="shared" si="16"/>
        <v>8700</v>
      </c>
      <c r="Q144" s="30" t="e" cm="1">
        <f t="array" aca="1" ref="Q144" ca="1">spellNumber(P144)</f>
        <v>#NAME?</v>
      </c>
      <c r="R144" s="31">
        <f t="shared" si="17"/>
        <v>8900</v>
      </c>
      <c r="S144" s="32">
        <v>8000</v>
      </c>
      <c r="T144" s="32">
        <v>7000</v>
      </c>
      <c r="U144" s="32">
        <v>5000</v>
      </c>
      <c r="V144" s="32">
        <v>6000</v>
      </c>
      <c r="W144" s="32">
        <v>6000</v>
      </c>
      <c r="X144" s="32">
        <v>6000</v>
      </c>
      <c r="Y144" s="32">
        <v>6000</v>
      </c>
      <c r="Z144" s="32">
        <v>6000</v>
      </c>
      <c r="AA144" s="33">
        <v>8775</v>
      </c>
      <c r="AB144" s="34">
        <v>8800</v>
      </c>
      <c r="AC144" s="35">
        <v>8800</v>
      </c>
      <c r="AD144" s="36"/>
    </row>
    <row r="145" spans="1:30" ht="16.5" customHeight="1" x14ac:dyDescent="0.25">
      <c r="A145" s="19" t="s">
        <v>663</v>
      </c>
      <c r="B145" s="19" t="s">
        <v>664</v>
      </c>
      <c r="C145" s="19" t="s">
        <v>665</v>
      </c>
      <c r="D145" s="19" t="s">
        <v>662</v>
      </c>
      <c r="E145" s="20" t="s">
        <v>34</v>
      </c>
      <c r="F145" s="21">
        <v>3</v>
      </c>
      <c r="G145" s="22" t="s">
        <v>666</v>
      </c>
      <c r="H145" s="23">
        <v>5500</v>
      </c>
      <c r="I145" s="24">
        <v>10500</v>
      </c>
      <c r="J145" s="23">
        <v>5500</v>
      </c>
      <c r="K145" s="25">
        <f t="shared" si="12"/>
        <v>5000</v>
      </c>
      <c r="L145" s="26">
        <f t="shared" si="13"/>
        <v>0.90909090909090906</v>
      </c>
      <c r="M145" s="27">
        <v>0</v>
      </c>
      <c r="N145" s="28">
        <f t="shared" si="14"/>
        <v>10500</v>
      </c>
      <c r="O145" s="29">
        <f t="shared" si="15"/>
        <v>10500</v>
      </c>
      <c r="P145" s="29">
        <f t="shared" si="16"/>
        <v>10500</v>
      </c>
      <c r="Q145" s="30" t="e" cm="1">
        <f t="array" aca="1" ref="Q145" ca="1">spellNumber(P145)</f>
        <v>#NAME?</v>
      </c>
      <c r="R145" s="31">
        <f t="shared" si="17"/>
        <v>10700</v>
      </c>
      <c r="S145" s="32">
        <v>0</v>
      </c>
      <c r="T145" s="32">
        <v>0</v>
      </c>
      <c r="U145" s="32">
        <v>21500</v>
      </c>
      <c r="V145" s="32">
        <v>0</v>
      </c>
      <c r="W145" s="32">
        <v>0</v>
      </c>
      <c r="X145" s="32">
        <v>0</v>
      </c>
      <c r="Y145" s="32">
        <v>22000</v>
      </c>
      <c r="Z145" s="32">
        <v>5500</v>
      </c>
      <c r="AA145" s="33">
        <v>5500</v>
      </c>
      <c r="AB145" s="34">
        <v>5500</v>
      </c>
      <c r="AC145" s="35">
        <v>5500</v>
      </c>
      <c r="AD145" s="36"/>
    </row>
    <row r="146" spans="1:30" ht="16.5" customHeight="1" x14ac:dyDescent="0.25">
      <c r="A146" s="19" t="s">
        <v>667</v>
      </c>
      <c r="B146" s="19" t="s">
        <v>668</v>
      </c>
      <c r="C146" s="19" t="s">
        <v>669</v>
      </c>
      <c r="D146" s="19" t="s">
        <v>670</v>
      </c>
      <c r="E146" s="20" t="s">
        <v>34</v>
      </c>
      <c r="F146" s="21">
        <v>3</v>
      </c>
      <c r="G146" s="42" t="s">
        <v>671</v>
      </c>
      <c r="H146" s="23">
        <v>5000</v>
      </c>
      <c r="I146" s="24">
        <v>5000</v>
      </c>
      <c r="J146" s="23">
        <v>5000</v>
      </c>
      <c r="K146" s="25">
        <f t="shared" si="12"/>
        <v>0</v>
      </c>
      <c r="L146" s="26">
        <f t="shared" si="13"/>
        <v>0</v>
      </c>
      <c r="M146" s="27">
        <v>0</v>
      </c>
      <c r="N146" s="28">
        <f t="shared" si="14"/>
        <v>5000</v>
      </c>
      <c r="O146" s="29">
        <f t="shared" si="15"/>
        <v>5000</v>
      </c>
      <c r="P146" s="29">
        <f t="shared" si="16"/>
        <v>5000</v>
      </c>
      <c r="Q146" s="30" t="e" cm="1">
        <f t="array" aca="1" ref="Q146" ca="1">spellNumber(P146)</f>
        <v>#NAME?</v>
      </c>
      <c r="R146" s="31">
        <f t="shared" si="17"/>
        <v>5200</v>
      </c>
      <c r="S146" s="32">
        <v>11000</v>
      </c>
      <c r="T146" s="32">
        <v>5000</v>
      </c>
      <c r="U146" s="32">
        <v>5000</v>
      </c>
      <c r="V146" s="32">
        <v>5000</v>
      </c>
      <c r="W146" s="32">
        <v>0</v>
      </c>
      <c r="X146" s="32">
        <v>10000</v>
      </c>
      <c r="Y146" s="32">
        <v>5000</v>
      </c>
      <c r="Z146" s="32">
        <v>5000</v>
      </c>
      <c r="AA146" s="33">
        <v>5000</v>
      </c>
      <c r="AB146" s="34">
        <v>0</v>
      </c>
      <c r="AC146" s="35">
        <v>10000</v>
      </c>
      <c r="AD146" s="36"/>
    </row>
    <row r="147" spans="1:30" ht="16.5" customHeight="1" x14ac:dyDescent="0.25">
      <c r="A147" s="19" t="s">
        <v>672</v>
      </c>
      <c r="B147" s="19" t="s">
        <v>673</v>
      </c>
      <c r="C147" s="19" t="s">
        <v>674</v>
      </c>
      <c r="D147" s="19" t="s">
        <v>675</v>
      </c>
      <c r="E147" s="20" t="s">
        <v>34</v>
      </c>
      <c r="F147" s="21">
        <v>4</v>
      </c>
      <c r="G147" s="22" t="s">
        <v>676</v>
      </c>
      <c r="H147" s="23">
        <v>5400</v>
      </c>
      <c r="I147" s="24">
        <v>20300</v>
      </c>
      <c r="J147" s="23">
        <v>5000</v>
      </c>
      <c r="K147" s="25">
        <f t="shared" si="12"/>
        <v>15300</v>
      </c>
      <c r="L147" s="26">
        <f t="shared" si="13"/>
        <v>2.8333333333333335</v>
      </c>
      <c r="M147" s="27">
        <v>0</v>
      </c>
      <c r="N147" s="28">
        <f t="shared" si="14"/>
        <v>20300</v>
      </c>
      <c r="O147" s="29">
        <f t="shared" si="15"/>
        <v>20300</v>
      </c>
      <c r="P147" s="29">
        <f t="shared" si="16"/>
        <v>20300</v>
      </c>
      <c r="Q147" s="30" t="e" cm="1">
        <f t="array" aca="1" ref="Q147" ca="1">spellNumber(P147)</f>
        <v>#NAME?</v>
      </c>
      <c r="R147" s="31">
        <f t="shared" si="17"/>
        <v>20500</v>
      </c>
      <c r="S147" s="32">
        <v>0</v>
      </c>
      <c r="T147" s="32">
        <v>14000</v>
      </c>
      <c r="U147" s="32">
        <v>0</v>
      </c>
      <c r="V147" s="32">
        <v>0</v>
      </c>
      <c r="W147" s="32">
        <v>10000</v>
      </c>
      <c r="X147" s="32">
        <v>3000</v>
      </c>
      <c r="Y147" s="32">
        <v>10500</v>
      </c>
      <c r="Z147" s="32">
        <v>10800</v>
      </c>
      <c r="AA147" s="33">
        <v>0</v>
      </c>
      <c r="AB147" s="34">
        <v>11000</v>
      </c>
      <c r="AC147" s="35">
        <v>10300</v>
      </c>
      <c r="AD147" s="36"/>
    </row>
    <row r="148" spans="1:30" ht="16.5" customHeight="1" x14ac:dyDescent="0.25">
      <c r="A148" s="19" t="s">
        <v>677</v>
      </c>
      <c r="B148" s="19" t="s">
        <v>678</v>
      </c>
      <c r="C148" s="19" t="s">
        <v>679</v>
      </c>
      <c r="D148" s="19" t="s">
        <v>93</v>
      </c>
      <c r="E148" s="20" t="s">
        <v>34</v>
      </c>
      <c r="F148" s="21">
        <v>1</v>
      </c>
      <c r="G148" s="22" t="s">
        <v>680</v>
      </c>
      <c r="H148" s="23">
        <v>2000</v>
      </c>
      <c r="I148" s="24">
        <v>2000</v>
      </c>
      <c r="J148" s="23">
        <v>2000</v>
      </c>
      <c r="K148" s="25">
        <f t="shared" si="12"/>
        <v>0</v>
      </c>
      <c r="L148" s="26">
        <f t="shared" si="13"/>
        <v>0</v>
      </c>
      <c r="M148" s="27">
        <v>0</v>
      </c>
      <c r="N148" s="28">
        <f t="shared" si="14"/>
        <v>2000</v>
      </c>
      <c r="O148" s="29">
        <f t="shared" si="15"/>
        <v>2000</v>
      </c>
      <c r="P148" s="29">
        <f t="shared" si="16"/>
        <v>2000</v>
      </c>
      <c r="Q148" s="30" t="e" cm="1">
        <f t="array" aca="1" ref="Q148" ca="1">spellNumber(P148)</f>
        <v>#NAME?</v>
      </c>
      <c r="R148" s="31">
        <f t="shared" si="17"/>
        <v>2200</v>
      </c>
      <c r="S148" s="32">
        <v>0</v>
      </c>
      <c r="T148" s="32">
        <v>0</v>
      </c>
      <c r="U148" s="32">
        <v>8000</v>
      </c>
      <c r="V148" s="32">
        <v>0</v>
      </c>
      <c r="W148" s="32">
        <v>0</v>
      </c>
      <c r="X148" s="32">
        <v>6000</v>
      </c>
      <c r="Y148" s="32">
        <v>2000</v>
      </c>
      <c r="Z148" s="32">
        <v>2000</v>
      </c>
      <c r="AA148" s="33">
        <v>0</v>
      </c>
      <c r="AB148" s="34">
        <v>0</v>
      </c>
      <c r="AC148" s="35">
        <v>2000</v>
      </c>
      <c r="AD148" s="36"/>
    </row>
    <row r="149" spans="1:30" ht="16.5" customHeight="1" x14ac:dyDescent="0.25">
      <c r="A149" s="19" t="s">
        <v>681</v>
      </c>
      <c r="B149" s="19" t="s">
        <v>470</v>
      </c>
      <c r="C149" s="19" t="s">
        <v>682</v>
      </c>
      <c r="D149" s="19" t="s">
        <v>216</v>
      </c>
      <c r="E149" s="20" t="s">
        <v>40</v>
      </c>
      <c r="F149" s="21">
        <v>1</v>
      </c>
      <c r="G149" s="22" t="s">
        <v>683</v>
      </c>
      <c r="H149" s="23">
        <v>2400</v>
      </c>
      <c r="I149" s="24">
        <v>2300</v>
      </c>
      <c r="J149" s="23">
        <v>2100</v>
      </c>
      <c r="K149" s="25">
        <f t="shared" si="12"/>
        <v>200</v>
      </c>
      <c r="L149" s="26">
        <f t="shared" si="13"/>
        <v>8.3333333333333329E-2</v>
      </c>
      <c r="M149" s="27">
        <v>0</v>
      </c>
      <c r="N149" s="28">
        <f t="shared" si="14"/>
        <v>2300</v>
      </c>
      <c r="O149" s="29">
        <f t="shared" si="15"/>
        <v>2300</v>
      </c>
      <c r="P149" s="29">
        <f t="shared" si="16"/>
        <v>2300</v>
      </c>
      <c r="Q149" s="30" t="e" cm="1">
        <f t="array" aca="1" ref="Q149" ca="1">spellNumber(P149)</f>
        <v>#NAME?</v>
      </c>
      <c r="R149" s="31">
        <f t="shared" si="17"/>
        <v>2500</v>
      </c>
      <c r="S149" s="32">
        <v>3000</v>
      </c>
      <c r="T149" s="32">
        <v>3000</v>
      </c>
      <c r="U149" s="32">
        <v>2500</v>
      </c>
      <c r="V149" s="32">
        <v>2500</v>
      </c>
      <c r="W149" s="32">
        <v>2500</v>
      </c>
      <c r="X149" s="32">
        <v>2500</v>
      </c>
      <c r="Y149" s="32">
        <v>2500</v>
      </c>
      <c r="Z149" s="32">
        <v>2800</v>
      </c>
      <c r="AA149" s="33">
        <v>2500</v>
      </c>
      <c r="AB149" s="34">
        <v>2500</v>
      </c>
      <c r="AC149" s="35">
        <v>2500</v>
      </c>
      <c r="AD149" s="36"/>
    </row>
    <row r="150" spans="1:30" ht="16.5" customHeight="1" x14ac:dyDescent="0.25">
      <c r="A150" s="19" t="s">
        <v>684</v>
      </c>
      <c r="B150" s="19" t="s">
        <v>685</v>
      </c>
      <c r="C150" s="19" t="s">
        <v>686</v>
      </c>
      <c r="D150" s="19" t="s">
        <v>687</v>
      </c>
      <c r="E150" s="20" t="s">
        <v>40</v>
      </c>
      <c r="F150" s="21">
        <v>2</v>
      </c>
      <c r="G150" s="22" t="s">
        <v>688</v>
      </c>
      <c r="H150" s="23">
        <v>4200</v>
      </c>
      <c r="I150" s="24">
        <v>4200</v>
      </c>
      <c r="J150" s="23">
        <v>4200</v>
      </c>
      <c r="K150" s="25">
        <f t="shared" si="12"/>
        <v>0</v>
      </c>
      <c r="L150" s="26">
        <f t="shared" si="13"/>
        <v>0</v>
      </c>
      <c r="M150" s="27">
        <v>0</v>
      </c>
      <c r="N150" s="28">
        <f t="shared" si="14"/>
        <v>4200</v>
      </c>
      <c r="O150" s="29">
        <f t="shared" si="15"/>
        <v>4200</v>
      </c>
      <c r="P150" s="29">
        <f t="shared" si="16"/>
        <v>4200</v>
      </c>
      <c r="Q150" s="30" t="e" cm="1">
        <f t="array" aca="1" ref="Q150" ca="1">spellNumber(P150)</f>
        <v>#NAME?</v>
      </c>
      <c r="R150" s="31">
        <f t="shared" si="17"/>
        <v>4400</v>
      </c>
      <c r="S150" s="32">
        <v>9200</v>
      </c>
      <c r="T150" s="32">
        <v>4200</v>
      </c>
      <c r="U150" s="32">
        <v>4200</v>
      </c>
      <c r="V150" s="32">
        <v>0</v>
      </c>
      <c r="W150" s="32">
        <v>0</v>
      </c>
      <c r="X150" s="32">
        <v>10000</v>
      </c>
      <c r="Y150" s="32">
        <v>6800</v>
      </c>
      <c r="Z150" s="32">
        <v>4200</v>
      </c>
      <c r="AA150" s="33">
        <v>4200</v>
      </c>
      <c r="AB150" s="34">
        <v>4200</v>
      </c>
      <c r="AC150" s="35">
        <v>4200</v>
      </c>
      <c r="AD150" s="36"/>
    </row>
    <row r="151" spans="1:30" ht="16.5" customHeight="1" x14ac:dyDescent="0.25">
      <c r="A151" s="19" t="s">
        <v>689</v>
      </c>
      <c r="B151" s="19" t="s">
        <v>690</v>
      </c>
      <c r="C151" s="19" t="s">
        <v>691</v>
      </c>
      <c r="D151" s="19" t="s">
        <v>692</v>
      </c>
      <c r="E151" s="20" t="s">
        <v>40</v>
      </c>
      <c r="F151" s="21">
        <v>3</v>
      </c>
      <c r="G151" s="22" t="s">
        <v>693</v>
      </c>
      <c r="H151" s="23">
        <v>3500</v>
      </c>
      <c r="I151" s="24">
        <v>3900</v>
      </c>
      <c r="J151" s="23">
        <v>3900</v>
      </c>
      <c r="K151" s="25">
        <f t="shared" si="12"/>
        <v>0</v>
      </c>
      <c r="L151" s="26">
        <f t="shared" si="13"/>
        <v>0</v>
      </c>
      <c r="M151" s="27">
        <v>0</v>
      </c>
      <c r="N151" s="28">
        <f t="shared" si="14"/>
        <v>3900</v>
      </c>
      <c r="O151" s="29">
        <f t="shared" si="15"/>
        <v>3900</v>
      </c>
      <c r="P151" s="29">
        <f t="shared" si="16"/>
        <v>3900</v>
      </c>
      <c r="Q151" s="30" t="e" cm="1">
        <f t="array" aca="1" ref="Q151" ca="1">spellNumber(P151)</f>
        <v>#NAME?</v>
      </c>
      <c r="R151" s="31">
        <f t="shared" si="17"/>
        <v>4100</v>
      </c>
      <c r="S151" s="32">
        <v>3500</v>
      </c>
      <c r="T151" s="32">
        <v>3500</v>
      </c>
      <c r="U151" s="32">
        <v>3500</v>
      </c>
      <c r="V151" s="32">
        <v>3500</v>
      </c>
      <c r="W151" s="32">
        <v>5000</v>
      </c>
      <c r="X151" s="32">
        <v>4000</v>
      </c>
      <c r="Y151" s="32">
        <v>3500</v>
      </c>
      <c r="Z151" s="32">
        <v>3900</v>
      </c>
      <c r="AA151" s="33">
        <v>3900</v>
      </c>
      <c r="AB151" s="34">
        <v>3900</v>
      </c>
      <c r="AC151" s="35">
        <v>3900</v>
      </c>
      <c r="AD151" s="36"/>
    </row>
    <row r="152" spans="1:30" ht="16.5" customHeight="1" x14ac:dyDescent="0.25">
      <c r="A152" s="19" t="s">
        <v>694</v>
      </c>
      <c r="B152" s="19" t="s">
        <v>695</v>
      </c>
      <c r="C152" s="19" t="s">
        <v>696</v>
      </c>
      <c r="D152" s="19" t="s">
        <v>697</v>
      </c>
      <c r="E152" s="20"/>
      <c r="F152" s="21">
        <v>1</v>
      </c>
      <c r="G152" s="22" t="s">
        <v>698</v>
      </c>
      <c r="H152" s="23">
        <v>1500</v>
      </c>
      <c r="I152" s="24">
        <v>1500</v>
      </c>
      <c r="J152" s="23">
        <v>1500</v>
      </c>
      <c r="K152" s="25">
        <f t="shared" si="12"/>
        <v>0</v>
      </c>
      <c r="L152" s="26">
        <f t="shared" si="13"/>
        <v>0</v>
      </c>
      <c r="M152" s="27">
        <v>0</v>
      </c>
      <c r="N152" s="28">
        <f t="shared" si="14"/>
        <v>1500</v>
      </c>
      <c r="O152" s="29">
        <f t="shared" si="15"/>
        <v>1500</v>
      </c>
      <c r="P152" s="29">
        <f t="shared" si="16"/>
        <v>1500</v>
      </c>
      <c r="Q152" s="30" t="e" cm="1">
        <f t="array" aca="1" ref="Q152" ca="1">spellNumber(P152)</f>
        <v>#NAME?</v>
      </c>
      <c r="R152" s="31">
        <f t="shared" si="17"/>
        <v>1700</v>
      </c>
      <c r="S152" s="32">
        <v>3500</v>
      </c>
      <c r="T152" s="32">
        <v>1500</v>
      </c>
      <c r="U152" s="32">
        <v>1500</v>
      </c>
      <c r="V152" s="32">
        <v>1500</v>
      </c>
      <c r="W152" s="32">
        <v>0</v>
      </c>
      <c r="X152" s="32">
        <v>3000</v>
      </c>
      <c r="Y152" s="32">
        <v>1500</v>
      </c>
      <c r="Z152" s="32">
        <v>1500</v>
      </c>
      <c r="AA152" s="33">
        <v>1500</v>
      </c>
      <c r="AB152" s="34">
        <v>0</v>
      </c>
      <c r="AC152" s="35">
        <v>1500</v>
      </c>
      <c r="AD152" s="36"/>
    </row>
    <row r="153" spans="1:30" ht="16.5" customHeight="1" x14ac:dyDescent="0.25">
      <c r="A153" s="19" t="s">
        <v>699</v>
      </c>
      <c r="B153" s="19" t="s">
        <v>289</v>
      </c>
      <c r="C153" s="19" t="s">
        <v>700</v>
      </c>
      <c r="D153" s="19" t="s">
        <v>216</v>
      </c>
      <c r="E153" s="20" t="s">
        <v>34</v>
      </c>
      <c r="F153" s="21">
        <v>1</v>
      </c>
      <c r="G153" s="22" t="s">
        <v>701</v>
      </c>
      <c r="H153" s="23">
        <v>2000</v>
      </c>
      <c r="I153" s="24">
        <v>5400</v>
      </c>
      <c r="J153" s="23">
        <v>3000</v>
      </c>
      <c r="K153" s="25">
        <f t="shared" si="12"/>
        <v>2400</v>
      </c>
      <c r="L153" s="26">
        <f t="shared" si="13"/>
        <v>1.2</v>
      </c>
      <c r="M153" s="27">
        <v>0</v>
      </c>
      <c r="N153" s="28">
        <f t="shared" si="14"/>
        <v>5400</v>
      </c>
      <c r="O153" s="29">
        <f t="shared" si="15"/>
        <v>5400</v>
      </c>
      <c r="P153" s="29">
        <f t="shared" si="16"/>
        <v>5400</v>
      </c>
      <c r="Q153" s="30" t="e" cm="1">
        <f t="array" aca="1" ref="Q153" ca="1">spellNumber(P153)</f>
        <v>#NAME?</v>
      </c>
      <c r="R153" s="31">
        <f t="shared" si="17"/>
        <v>5600</v>
      </c>
      <c r="S153" s="32">
        <v>2000</v>
      </c>
      <c r="T153" s="32">
        <v>2000</v>
      </c>
      <c r="U153" s="32">
        <v>2000</v>
      </c>
      <c r="V153" s="32">
        <v>0</v>
      </c>
      <c r="W153" s="32">
        <v>6000</v>
      </c>
      <c r="X153" s="32">
        <v>0</v>
      </c>
      <c r="Y153" s="32">
        <v>0</v>
      </c>
      <c r="Z153" s="32">
        <v>5000</v>
      </c>
      <c r="AA153" s="33">
        <v>0</v>
      </c>
      <c r="AB153" s="34">
        <v>2000</v>
      </c>
      <c r="AC153" s="35">
        <v>2000</v>
      </c>
      <c r="AD153" s="36"/>
    </row>
    <row r="154" spans="1:30" ht="16.5" customHeight="1" x14ac:dyDescent="0.25">
      <c r="A154" s="19" t="s">
        <v>702</v>
      </c>
      <c r="B154" s="19" t="s">
        <v>703</v>
      </c>
      <c r="C154" s="19" t="s">
        <v>704</v>
      </c>
      <c r="D154" s="19" t="s">
        <v>216</v>
      </c>
      <c r="E154" s="20" t="s">
        <v>34</v>
      </c>
      <c r="F154" s="21">
        <v>1</v>
      </c>
      <c r="G154" s="22" t="s">
        <v>705</v>
      </c>
      <c r="H154" s="23">
        <v>0</v>
      </c>
      <c r="I154" s="24">
        <v>0</v>
      </c>
      <c r="J154" s="23">
        <v>0</v>
      </c>
      <c r="K154" s="25">
        <f t="shared" si="12"/>
        <v>0</v>
      </c>
      <c r="L154" s="26" t="e">
        <f t="shared" si="13"/>
        <v>#DIV/0!</v>
      </c>
      <c r="M154" s="27">
        <v>0</v>
      </c>
      <c r="N154" s="28">
        <f t="shared" si="14"/>
        <v>0</v>
      </c>
      <c r="O154" s="29">
        <f t="shared" si="15"/>
        <v>0</v>
      </c>
      <c r="P154" s="29">
        <f t="shared" si="16"/>
        <v>0</v>
      </c>
      <c r="Q154" s="30" t="e" cm="1">
        <f t="array" aca="1" ref="Q154" ca="1">spellNumber(P154)</f>
        <v>#NAME?</v>
      </c>
      <c r="R154" s="31">
        <f t="shared" si="17"/>
        <v>200</v>
      </c>
      <c r="S154" s="32">
        <v>0</v>
      </c>
      <c r="T154" s="32">
        <v>2000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3">
        <v>0</v>
      </c>
      <c r="AB154" s="34">
        <v>0</v>
      </c>
      <c r="AC154" s="35">
        <v>0</v>
      </c>
      <c r="AD154" s="36"/>
    </row>
    <row r="155" spans="1:30" ht="16.5" customHeight="1" x14ac:dyDescent="0.25">
      <c r="A155" s="19" t="s">
        <v>706</v>
      </c>
      <c r="B155" s="19" t="s">
        <v>707</v>
      </c>
      <c r="C155" s="19" t="s">
        <v>707</v>
      </c>
      <c r="D155" s="19" t="s">
        <v>707</v>
      </c>
      <c r="E155" s="20" t="s">
        <v>34</v>
      </c>
      <c r="F155" s="21">
        <v>0</v>
      </c>
      <c r="G155" s="22" t="s">
        <v>708</v>
      </c>
      <c r="H155" s="23">
        <v>0</v>
      </c>
      <c r="I155" s="24">
        <v>0</v>
      </c>
      <c r="J155" s="23">
        <v>0</v>
      </c>
      <c r="K155" s="25">
        <f t="shared" si="12"/>
        <v>0</v>
      </c>
      <c r="L155" s="26" t="e">
        <f t="shared" si="13"/>
        <v>#DIV/0!</v>
      </c>
      <c r="M155" s="27">
        <v>0</v>
      </c>
      <c r="N155" s="28">
        <f t="shared" si="14"/>
        <v>0</v>
      </c>
      <c r="O155" s="29">
        <f t="shared" si="15"/>
        <v>0</v>
      </c>
      <c r="P155" s="29">
        <f t="shared" si="16"/>
        <v>0</v>
      </c>
      <c r="Q155" s="30" t="e" cm="1">
        <f t="array" aca="1" ref="Q155" ca="1">spellNumber(P155)</f>
        <v>#NAME?</v>
      </c>
      <c r="R155" s="31">
        <f t="shared" si="17"/>
        <v>200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2">
        <v>0</v>
      </c>
      <c r="Z155" s="32">
        <v>0</v>
      </c>
      <c r="AA155" s="33">
        <v>0</v>
      </c>
      <c r="AB155" s="34">
        <v>0</v>
      </c>
      <c r="AC155" s="35">
        <v>0</v>
      </c>
      <c r="AD155" s="36"/>
    </row>
    <row r="156" spans="1:30" ht="16.5" customHeight="1" x14ac:dyDescent="0.25">
      <c r="A156" s="19" t="s">
        <v>709</v>
      </c>
      <c r="B156" s="19" t="s">
        <v>710</v>
      </c>
      <c r="C156" s="19" t="s">
        <v>711</v>
      </c>
      <c r="D156" s="19" t="s">
        <v>151</v>
      </c>
      <c r="E156" s="20"/>
      <c r="F156" s="21">
        <v>1</v>
      </c>
      <c r="G156" s="22" t="s">
        <v>712</v>
      </c>
      <c r="H156" s="23">
        <v>2500</v>
      </c>
      <c r="I156" s="24">
        <v>2850</v>
      </c>
      <c r="J156" s="23">
        <v>2850</v>
      </c>
      <c r="K156" s="25">
        <f t="shared" si="12"/>
        <v>0</v>
      </c>
      <c r="L156" s="26">
        <f t="shared" si="13"/>
        <v>0</v>
      </c>
      <c r="M156" s="27">
        <v>0</v>
      </c>
      <c r="N156" s="28">
        <f t="shared" si="14"/>
        <v>2850</v>
      </c>
      <c r="O156" s="29">
        <f t="shared" si="15"/>
        <v>2850</v>
      </c>
      <c r="P156" s="29">
        <f t="shared" si="16"/>
        <v>2900</v>
      </c>
      <c r="Q156" s="30" t="e" cm="1">
        <f t="array" aca="1" ref="Q156" ca="1">spellNumber(P156)</f>
        <v>#NAME?</v>
      </c>
      <c r="R156" s="31">
        <f t="shared" si="17"/>
        <v>3100</v>
      </c>
      <c r="S156" s="32">
        <v>0</v>
      </c>
      <c r="T156" s="32">
        <v>0</v>
      </c>
      <c r="U156" s="32">
        <v>0</v>
      </c>
      <c r="V156" s="32">
        <v>5000</v>
      </c>
      <c r="W156" s="32">
        <v>2500</v>
      </c>
      <c r="X156" s="32">
        <v>0</v>
      </c>
      <c r="Y156" s="32">
        <v>2500</v>
      </c>
      <c r="Z156" s="32">
        <v>0</v>
      </c>
      <c r="AA156" s="33">
        <v>3750</v>
      </c>
      <c r="AB156" s="34">
        <v>2500</v>
      </c>
      <c r="AC156" s="35">
        <v>2900</v>
      </c>
      <c r="AD156" s="36"/>
    </row>
    <row r="157" spans="1:30" ht="16.5" customHeight="1" x14ac:dyDescent="0.25">
      <c r="A157" s="19" t="s">
        <v>713</v>
      </c>
      <c r="B157" s="19" t="s">
        <v>714</v>
      </c>
      <c r="C157" s="19" t="s">
        <v>715</v>
      </c>
      <c r="D157" s="19" t="s">
        <v>716</v>
      </c>
      <c r="E157" s="20"/>
      <c r="F157" s="21">
        <v>2</v>
      </c>
      <c r="G157" s="22" t="s">
        <v>717</v>
      </c>
      <c r="H157" s="23">
        <v>4000</v>
      </c>
      <c r="I157" s="24">
        <v>6000</v>
      </c>
      <c r="J157" s="23">
        <v>6000</v>
      </c>
      <c r="K157" s="25">
        <f t="shared" si="12"/>
        <v>0</v>
      </c>
      <c r="L157" s="26">
        <f t="shared" si="13"/>
        <v>0</v>
      </c>
      <c r="M157" s="27">
        <v>0</v>
      </c>
      <c r="N157" s="28">
        <f t="shared" si="14"/>
        <v>6000</v>
      </c>
      <c r="O157" s="29">
        <f t="shared" si="15"/>
        <v>6000</v>
      </c>
      <c r="P157" s="29">
        <f t="shared" si="16"/>
        <v>6000</v>
      </c>
      <c r="Q157" s="30" t="e" cm="1">
        <f t="array" aca="1" ref="Q157" ca="1">spellNumber(P157)</f>
        <v>#NAME?</v>
      </c>
      <c r="R157" s="31">
        <f t="shared" si="17"/>
        <v>6200</v>
      </c>
      <c r="S157" s="32">
        <v>8000</v>
      </c>
      <c r="T157" s="32">
        <v>4000</v>
      </c>
      <c r="U157" s="32">
        <v>4000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3">
        <v>24000</v>
      </c>
      <c r="AB157" s="34">
        <v>0</v>
      </c>
      <c r="AC157" s="35">
        <v>6000</v>
      </c>
      <c r="AD157" s="36"/>
    </row>
    <row r="158" spans="1:30" ht="16.5" customHeight="1" x14ac:dyDescent="0.25">
      <c r="A158" s="19" t="s">
        <v>718</v>
      </c>
      <c r="B158" s="19" t="s">
        <v>719</v>
      </c>
      <c r="C158" s="19" t="s">
        <v>720</v>
      </c>
      <c r="D158" s="19" t="s">
        <v>721</v>
      </c>
      <c r="E158" s="20" t="s">
        <v>40</v>
      </c>
      <c r="F158" s="21">
        <v>3</v>
      </c>
      <c r="G158" s="22" t="s">
        <v>722</v>
      </c>
      <c r="H158" s="23">
        <v>5800</v>
      </c>
      <c r="I158" s="24">
        <v>9074</v>
      </c>
      <c r="J158" s="23">
        <v>9074</v>
      </c>
      <c r="K158" s="25">
        <f t="shared" si="12"/>
        <v>0</v>
      </c>
      <c r="L158" s="26">
        <f t="shared" si="13"/>
        <v>0</v>
      </c>
      <c r="M158" s="27">
        <v>0</v>
      </c>
      <c r="N158" s="28">
        <f t="shared" si="14"/>
        <v>9074</v>
      </c>
      <c r="O158" s="29">
        <f t="shared" si="15"/>
        <v>9074</v>
      </c>
      <c r="P158" s="29">
        <f t="shared" si="16"/>
        <v>9100</v>
      </c>
      <c r="Q158" s="30" t="e" cm="1">
        <f t="array" aca="1" ref="Q158" ca="1">spellNumber(P158)</f>
        <v>#NAME?</v>
      </c>
      <c r="R158" s="31">
        <f t="shared" si="17"/>
        <v>9300</v>
      </c>
      <c r="S158" s="32">
        <v>0</v>
      </c>
      <c r="T158" s="32">
        <v>0</v>
      </c>
      <c r="U158" s="32">
        <v>0</v>
      </c>
      <c r="V158" s="32">
        <v>10000</v>
      </c>
      <c r="W158" s="32">
        <v>15000</v>
      </c>
      <c r="X158" s="32">
        <v>0</v>
      </c>
      <c r="Y158" s="32">
        <v>9058</v>
      </c>
      <c r="Z158" s="32">
        <v>9058</v>
      </c>
      <c r="AA158" s="33">
        <v>9060</v>
      </c>
      <c r="AB158" s="34">
        <v>9100</v>
      </c>
      <c r="AC158" s="35">
        <v>9000</v>
      </c>
      <c r="AD158" s="36"/>
    </row>
    <row r="159" spans="1:30" ht="16.5" customHeight="1" x14ac:dyDescent="0.25">
      <c r="A159" s="19" t="s">
        <v>723</v>
      </c>
      <c r="B159" s="19" t="s">
        <v>724</v>
      </c>
      <c r="C159" s="19" t="s">
        <v>725</v>
      </c>
      <c r="D159" s="19" t="s">
        <v>726</v>
      </c>
      <c r="E159" s="20" t="s">
        <v>40</v>
      </c>
      <c r="F159" s="21">
        <v>3</v>
      </c>
      <c r="G159" s="22" t="s">
        <v>452</v>
      </c>
      <c r="H159" s="23">
        <v>5000</v>
      </c>
      <c r="I159" s="24">
        <v>22500</v>
      </c>
      <c r="J159" s="23">
        <v>22500</v>
      </c>
      <c r="K159" s="25">
        <f t="shared" si="12"/>
        <v>0</v>
      </c>
      <c r="L159" s="26">
        <f t="shared" si="13"/>
        <v>0</v>
      </c>
      <c r="M159" s="27">
        <v>0</v>
      </c>
      <c r="N159" s="28">
        <f t="shared" si="14"/>
        <v>22500</v>
      </c>
      <c r="O159" s="29">
        <f t="shared" si="15"/>
        <v>22500</v>
      </c>
      <c r="P159" s="29">
        <f t="shared" si="16"/>
        <v>22500</v>
      </c>
      <c r="Q159" s="30" t="e" cm="1">
        <f t="array" aca="1" ref="Q159" ca="1">spellNumber(P159)</f>
        <v>#NAME?</v>
      </c>
      <c r="R159" s="31">
        <f t="shared" si="17"/>
        <v>22700</v>
      </c>
      <c r="S159" s="32">
        <v>20500</v>
      </c>
      <c r="T159" s="32">
        <v>0</v>
      </c>
      <c r="U159" s="32">
        <v>0</v>
      </c>
      <c r="V159" s="32">
        <v>0</v>
      </c>
      <c r="W159" s="32">
        <v>0</v>
      </c>
      <c r="X159" s="32">
        <v>10000</v>
      </c>
      <c r="Y159" s="32">
        <v>0</v>
      </c>
      <c r="Z159" s="32">
        <v>0</v>
      </c>
      <c r="AA159" s="33">
        <v>0</v>
      </c>
      <c r="AB159" s="34">
        <v>0</v>
      </c>
      <c r="AC159" s="35">
        <v>22500</v>
      </c>
      <c r="AD159" s="36"/>
    </row>
    <row r="160" spans="1:30" ht="16.5" customHeight="1" x14ac:dyDescent="0.25">
      <c r="A160" s="19" t="s">
        <v>727</v>
      </c>
      <c r="B160" s="19" t="s">
        <v>728</v>
      </c>
      <c r="C160" s="19" t="s">
        <v>729</v>
      </c>
      <c r="D160" s="19" t="s">
        <v>730</v>
      </c>
      <c r="E160" s="20"/>
      <c r="F160" s="21">
        <v>2</v>
      </c>
      <c r="G160" s="22" t="s">
        <v>731</v>
      </c>
      <c r="H160" s="23">
        <v>3000</v>
      </c>
      <c r="I160" s="24">
        <v>3000</v>
      </c>
      <c r="J160" s="23">
        <v>3000</v>
      </c>
      <c r="K160" s="25">
        <f t="shared" si="12"/>
        <v>0</v>
      </c>
      <c r="L160" s="26">
        <f t="shared" si="13"/>
        <v>0</v>
      </c>
      <c r="M160" s="27">
        <v>0</v>
      </c>
      <c r="N160" s="28">
        <f t="shared" si="14"/>
        <v>3000</v>
      </c>
      <c r="O160" s="29">
        <f t="shared" si="15"/>
        <v>3000</v>
      </c>
      <c r="P160" s="29">
        <f t="shared" si="16"/>
        <v>3000</v>
      </c>
      <c r="Q160" s="30" t="e" cm="1">
        <f t="array" aca="1" ref="Q160" ca="1">spellNumber(P160)</f>
        <v>#NAME?</v>
      </c>
      <c r="R160" s="31">
        <f t="shared" si="17"/>
        <v>3200</v>
      </c>
      <c r="S160" s="32">
        <v>6000</v>
      </c>
      <c r="T160" s="32">
        <v>3000</v>
      </c>
      <c r="U160" s="32">
        <v>3000</v>
      </c>
      <c r="V160" s="32">
        <v>3000</v>
      </c>
      <c r="W160" s="32">
        <v>3000</v>
      </c>
      <c r="X160" s="32">
        <v>3000</v>
      </c>
      <c r="Y160" s="32">
        <v>3000</v>
      </c>
      <c r="Z160" s="32">
        <v>3000</v>
      </c>
      <c r="AA160" s="33">
        <v>3000</v>
      </c>
      <c r="AB160" s="34">
        <v>0</v>
      </c>
      <c r="AC160" s="35">
        <v>3000</v>
      </c>
      <c r="AD160" s="36"/>
    </row>
    <row r="161" spans="1:30" ht="16.5" customHeight="1" x14ac:dyDescent="0.25">
      <c r="A161" s="19" t="s">
        <v>732</v>
      </c>
      <c r="B161" s="19" t="s">
        <v>175</v>
      </c>
      <c r="C161" s="19" t="s">
        <v>733</v>
      </c>
      <c r="D161" s="19" t="s">
        <v>216</v>
      </c>
      <c r="E161" s="20" t="s">
        <v>40</v>
      </c>
      <c r="F161" s="21">
        <v>1</v>
      </c>
      <c r="G161" s="22" t="s">
        <v>734</v>
      </c>
      <c r="H161" s="23">
        <v>2300</v>
      </c>
      <c r="I161" s="24">
        <v>18300</v>
      </c>
      <c r="J161" s="23">
        <v>0</v>
      </c>
      <c r="K161" s="25">
        <f t="shared" si="12"/>
        <v>18300</v>
      </c>
      <c r="L161" s="26">
        <f t="shared" si="13"/>
        <v>7.9565217391304346</v>
      </c>
      <c r="M161" s="27">
        <v>0</v>
      </c>
      <c r="N161" s="28">
        <f t="shared" si="14"/>
        <v>18300</v>
      </c>
      <c r="O161" s="29">
        <f t="shared" si="15"/>
        <v>18300</v>
      </c>
      <c r="P161" s="29">
        <f t="shared" si="16"/>
        <v>18300</v>
      </c>
      <c r="Q161" s="30" t="e" cm="1">
        <f t="array" aca="1" ref="Q161" ca="1">spellNumber(P161)</f>
        <v>#NAME?</v>
      </c>
      <c r="R161" s="31">
        <f t="shared" si="17"/>
        <v>18500</v>
      </c>
      <c r="S161" s="32">
        <v>0</v>
      </c>
      <c r="T161" s="32">
        <v>0</v>
      </c>
      <c r="U161" s="32">
        <v>5000</v>
      </c>
      <c r="V161" s="32">
        <v>0</v>
      </c>
      <c r="W161" s="32">
        <v>10000</v>
      </c>
      <c r="X161" s="32">
        <v>0</v>
      </c>
      <c r="Y161" s="32">
        <v>0</v>
      </c>
      <c r="Z161" s="32">
        <v>0</v>
      </c>
      <c r="AA161" s="33">
        <v>0</v>
      </c>
      <c r="AB161" s="34">
        <v>0</v>
      </c>
      <c r="AC161" s="35">
        <v>0</v>
      </c>
      <c r="AD161" s="36"/>
    </row>
    <row r="162" spans="1:30" ht="16.5" customHeight="1" x14ac:dyDescent="0.25">
      <c r="A162" s="19" t="s">
        <v>735</v>
      </c>
      <c r="B162" s="19" t="s">
        <v>736</v>
      </c>
      <c r="C162" s="19" t="s">
        <v>737</v>
      </c>
      <c r="D162" s="19" t="s">
        <v>738</v>
      </c>
      <c r="E162" s="20"/>
      <c r="F162" s="21">
        <v>3</v>
      </c>
      <c r="G162" s="47" t="s">
        <v>739</v>
      </c>
      <c r="H162" s="23">
        <v>5000</v>
      </c>
      <c r="I162" s="24">
        <v>5000</v>
      </c>
      <c r="J162" s="23">
        <v>5000</v>
      </c>
      <c r="K162" s="25">
        <f t="shared" si="12"/>
        <v>0</v>
      </c>
      <c r="L162" s="26">
        <f t="shared" si="13"/>
        <v>0</v>
      </c>
      <c r="M162" s="27">
        <v>0</v>
      </c>
      <c r="N162" s="28">
        <f t="shared" si="14"/>
        <v>5000</v>
      </c>
      <c r="O162" s="29">
        <f t="shared" si="15"/>
        <v>5000</v>
      </c>
      <c r="P162" s="29">
        <f t="shared" si="16"/>
        <v>5000</v>
      </c>
      <c r="Q162" s="30" t="e" cm="1">
        <f t="array" aca="1" ref="Q162" ca="1">spellNumber(P162)</f>
        <v>#NAME?</v>
      </c>
      <c r="R162" s="31">
        <f t="shared" si="17"/>
        <v>5200</v>
      </c>
      <c r="S162" s="32">
        <v>11000</v>
      </c>
      <c r="T162" s="32">
        <v>5000</v>
      </c>
      <c r="U162" s="32">
        <v>5000</v>
      </c>
      <c r="V162" s="32">
        <v>0</v>
      </c>
      <c r="W162" s="32">
        <v>10000</v>
      </c>
      <c r="X162" s="32">
        <v>5000</v>
      </c>
      <c r="Y162" s="32">
        <v>5000</v>
      </c>
      <c r="Z162" s="32">
        <v>5000</v>
      </c>
      <c r="AA162" s="33">
        <v>5000</v>
      </c>
      <c r="AB162" s="34">
        <v>5000</v>
      </c>
      <c r="AC162" s="35">
        <v>5000</v>
      </c>
      <c r="AD162" s="36"/>
    </row>
    <row r="163" spans="1:30" ht="16.5" customHeight="1" x14ac:dyDescent="0.25">
      <c r="A163" s="19" t="s">
        <v>740</v>
      </c>
      <c r="B163" s="19" t="s">
        <v>741</v>
      </c>
      <c r="C163" s="19" t="s">
        <v>742</v>
      </c>
      <c r="D163" s="19" t="s">
        <v>743</v>
      </c>
      <c r="E163" s="20" t="s">
        <v>40</v>
      </c>
      <c r="F163" s="21">
        <v>3</v>
      </c>
      <c r="G163" s="22" t="s">
        <v>744</v>
      </c>
      <c r="H163" s="23">
        <v>5000</v>
      </c>
      <c r="I163" s="24">
        <v>6500</v>
      </c>
      <c r="J163" s="23">
        <v>5000</v>
      </c>
      <c r="K163" s="25">
        <f t="shared" si="12"/>
        <v>1500</v>
      </c>
      <c r="L163" s="26">
        <f t="shared" si="13"/>
        <v>0.3</v>
      </c>
      <c r="M163" s="27">
        <v>0</v>
      </c>
      <c r="N163" s="28">
        <f t="shared" si="14"/>
        <v>6500</v>
      </c>
      <c r="O163" s="29">
        <f t="shared" si="15"/>
        <v>6500</v>
      </c>
      <c r="P163" s="29">
        <f t="shared" si="16"/>
        <v>6500</v>
      </c>
      <c r="Q163" s="30" t="e" cm="1">
        <f t="array" aca="1" ref="Q163" ca="1">spellNumber(P163)</f>
        <v>#NAME?</v>
      </c>
      <c r="R163" s="31">
        <f t="shared" si="17"/>
        <v>6700</v>
      </c>
      <c r="S163" s="32">
        <v>5800</v>
      </c>
      <c r="T163" s="32">
        <v>0</v>
      </c>
      <c r="U163" s="32">
        <v>4600</v>
      </c>
      <c r="V163" s="32">
        <v>0</v>
      </c>
      <c r="W163" s="32">
        <v>0</v>
      </c>
      <c r="X163" s="32">
        <v>9600</v>
      </c>
      <c r="Y163" s="32">
        <v>3500</v>
      </c>
      <c r="Z163" s="32">
        <v>5000</v>
      </c>
      <c r="AA163" s="33">
        <v>5000</v>
      </c>
      <c r="AB163" s="34">
        <v>5000</v>
      </c>
      <c r="AC163" s="35">
        <v>5000</v>
      </c>
      <c r="AD163" s="36"/>
    </row>
    <row r="164" spans="1:30" ht="16.5" customHeight="1" x14ac:dyDescent="0.25">
      <c r="A164" s="19" t="s">
        <v>745</v>
      </c>
      <c r="B164" s="19" t="s">
        <v>746</v>
      </c>
      <c r="C164" s="19" t="s">
        <v>747</v>
      </c>
      <c r="D164" s="19" t="s">
        <v>748</v>
      </c>
      <c r="E164" s="20"/>
      <c r="F164" s="21">
        <v>2</v>
      </c>
      <c r="G164" s="22" t="s">
        <v>749</v>
      </c>
      <c r="H164" s="23">
        <v>4000</v>
      </c>
      <c r="I164" s="24">
        <v>4000</v>
      </c>
      <c r="J164" s="23">
        <v>4000</v>
      </c>
      <c r="K164" s="25">
        <f t="shared" si="12"/>
        <v>0</v>
      </c>
      <c r="L164" s="26">
        <f t="shared" si="13"/>
        <v>0</v>
      </c>
      <c r="M164" s="27">
        <v>0</v>
      </c>
      <c r="N164" s="28">
        <f t="shared" si="14"/>
        <v>4000</v>
      </c>
      <c r="O164" s="29">
        <f t="shared" si="15"/>
        <v>4000</v>
      </c>
      <c r="P164" s="29">
        <f t="shared" si="16"/>
        <v>4000</v>
      </c>
      <c r="Q164" s="30" t="e" cm="1">
        <f t="array" aca="1" ref="Q164" ca="1">spellNumber(P164)</f>
        <v>#NAME?</v>
      </c>
      <c r="R164" s="31">
        <f t="shared" si="17"/>
        <v>4200</v>
      </c>
      <c r="S164" s="32">
        <v>4000</v>
      </c>
      <c r="T164" s="32">
        <v>4000</v>
      </c>
      <c r="U164" s="32">
        <v>4000</v>
      </c>
      <c r="V164" s="32">
        <v>5000</v>
      </c>
      <c r="W164" s="32">
        <v>4000</v>
      </c>
      <c r="X164" s="32">
        <v>5000</v>
      </c>
      <c r="Y164" s="32">
        <v>6000</v>
      </c>
      <c r="Z164" s="32">
        <v>4000</v>
      </c>
      <c r="AA164" s="33">
        <v>4000</v>
      </c>
      <c r="AB164" s="34">
        <v>4000</v>
      </c>
      <c r="AC164" s="35">
        <v>4000</v>
      </c>
      <c r="AD164" s="36"/>
    </row>
    <row r="165" spans="1:30" ht="16.5" customHeight="1" x14ac:dyDescent="0.25">
      <c r="A165" s="19" t="s">
        <v>750</v>
      </c>
      <c r="B165" s="19" t="s">
        <v>751</v>
      </c>
      <c r="C165" s="19" t="s">
        <v>752</v>
      </c>
      <c r="D165" s="19" t="s">
        <v>753</v>
      </c>
      <c r="E165" s="20" t="s">
        <v>34</v>
      </c>
      <c r="F165" s="21">
        <v>2</v>
      </c>
      <c r="G165" s="22" t="s">
        <v>749</v>
      </c>
      <c r="H165" s="23">
        <v>3000</v>
      </c>
      <c r="I165" s="24">
        <v>3000</v>
      </c>
      <c r="J165" s="23">
        <v>3000</v>
      </c>
      <c r="K165" s="25">
        <f t="shared" si="12"/>
        <v>0</v>
      </c>
      <c r="L165" s="26">
        <f t="shared" si="13"/>
        <v>0</v>
      </c>
      <c r="M165" s="27">
        <v>0</v>
      </c>
      <c r="N165" s="28">
        <f t="shared" si="14"/>
        <v>3000</v>
      </c>
      <c r="O165" s="29">
        <f t="shared" si="15"/>
        <v>3000</v>
      </c>
      <c r="P165" s="29">
        <f t="shared" si="16"/>
        <v>3000</v>
      </c>
      <c r="Q165" s="30" t="e" cm="1">
        <f t="array" aca="1" ref="Q165" ca="1">spellNumber(P165)</f>
        <v>#NAME?</v>
      </c>
      <c r="R165" s="31">
        <f t="shared" si="17"/>
        <v>3200</v>
      </c>
      <c r="S165" s="32">
        <v>3000</v>
      </c>
      <c r="T165" s="32">
        <v>3000</v>
      </c>
      <c r="U165" s="32">
        <v>3000</v>
      </c>
      <c r="V165" s="32">
        <v>3000</v>
      </c>
      <c r="W165" s="32">
        <v>3000</v>
      </c>
      <c r="X165" s="32">
        <v>3000</v>
      </c>
      <c r="Y165" s="32">
        <v>3000</v>
      </c>
      <c r="Z165" s="32">
        <v>3000</v>
      </c>
      <c r="AA165" s="33">
        <v>3000</v>
      </c>
      <c r="AB165" s="34">
        <v>0</v>
      </c>
      <c r="AC165" s="35">
        <v>3000</v>
      </c>
      <c r="AD165" s="36"/>
    </row>
    <row r="166" spans="1:30" ht="16.5" customHeight="1" x14ac:dyDescent="0.25">
      <c r="A166" s="19" t="s">
        <v>754</v>
      </c>
      <c r="B166" s="19" t="s">
        <v>755</v>
      </c>
      <c r="C166" s="19" t="s">
        <v>502</v>
      </c>
      <c r="D166" s="19" t="s">
        <v>216</v>
      </c>
      <c r="E166" s="20" t="s">
        <v>34</v>
      </c>
      <c r="F166" s="21">
        <v>1</v>
      </c>
      <c r="G166" s="22" t="s">
        <v>756</v>
      </c>
      <c r="H166" s="23">
        <v>2200</v>
      </c>
      <c r="I166" s="24">
        <v>16700</v>
      </c>
      <c r="J166" s="23">
        <v>0</v>
      </c>
      <c r="K166" s="25">
        <f t="shared" si="12"/>
        <v>16700</v>
      </c>
      <c r="L166" s="26">
        <f t="shared" si="13"/>
        <v>7.5909090909090908</v>
      </c>
      <c r="M166" s="27">
        <v>0</v>
      </c>
      <c r="N166" s="28">
        <f t="shared" si="14"/>
        <v>16700</v>
      </c>
      <c r="O166" s="29">
        <f t="shared" si="15"/>
        <v>16700</v>
      </c>
      <c r="P166" s="29">
        <f t="shared" si="16"/>
        <v>16700</v>
      </c>
      <c r="Q166" s="30" t="e" cm="1">
        <f t="array" aca="1" ref="Q166" ca="1">spellNumber(P166)</f>
        <v>#NAME?</v>
      </c>
      <c r="R166" s="31">
        <f t="shared" si="17"/>
        <v>16900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3">
        <v>8000</v>
      </c>
      <c r="AB166" s="34">
        <v>0</v>
      </c>
      <c r="AC166" s="35">
        <v>5000</v>
      </c>
      <c r="AD166" s="36"/>
    </row>
    <row r="167" spans="1:30" ht="16.5" customHeight="1" x14ac:dyDescent="0.25">
      <c r="A167" s="19" t="s">
        <v>757</v>
      </c>
      <c r="B167" s="19" t="s">
        <v>758</v>
      </c>
      <c r="C167" s="19" t="s">
        <v>759</v>
      </c>
      <c r="D167" s="19" t="s">
        <v>216</v>
      </c>
      <c r="E167" s="20" t="s">
        <v>40</v>
      </c>
      <c r="F167" s="21">
        <v>1</v>
      </c>
      <c r="G167" s="22" t="s">
        <v>760</v>
      </c>
      <c r="H167" s="23">
        <v>2700</v>
      </c>
      <c r="I167" s="24">
        <v>2700</v>
      </c>
      <c r="J167" s="23">
        <v>2700</v>
      </c>
      <c r="K167" s="25">
        <f t="shared" si="12"/>
        <v>0</v>
      </c>
      <c r="L167" s="26">
        <f t="shared" si="13"/>
        <v>0</v>
      </c>
      <c r="M167" s="27">
        <v>0</v>
      </c>
      <c r="N167" s="28">
        <f t="shared" si="14"/>
        <v>2700</v>
      </c>
      <c r="O167" s="29">
        <f t="shared" si="15"/>
        <v>2700</v>
      </c>
      <c r="P167" s="29">
        <f t="shared" si="16"/>
        <v>2700</v>
      </c>
      <c r="Q167" s="30" t="e" cm="1">
        <f t="array" aca="1" ref="Q167" ca="1">spellNumber(P167)</f>
        <v>#NAME?</v>
      </c>
      <c r="R167" s="31">
        <f t="shared" si="17"/>
        <v>2900</v>
      </c>
      <c r="S167" s="32">
        <v>0</v>
      </c>
      <c r="T167" s="32">
        <v>6000</v>
      </c>
      <c r="U167" s="32">
        <v>0</v>
      </c>
      <c r="V167" s="32">
        <v>4600</v>
      </c>
      <c r="W167" s="32">
        <v>5400</v>
      </c>
      <c r="X167" s="32">
        <v>0</v>
      </c>
      <c r="Y167" s="32">
        <v>5400</v>
      </c>
      <c r="Z167" s="32">
        <v>2700</v>
      </c>
      <c r="AA167" s="33">
        <v>2700</v>
      </c>
      <c r="AB167" s="34">
        <v>2700</v>
      </c>
      <c r="AC167" s="35">
        <v>2700</v>
      </c>
      <c r="AD167" s="36"/>
    </row>
    <row r="168" spans="1:30" ht="16.5" customHeight="1" x14ac:dyDescent="0.25">
      <c r="A168" s="19" t="s">
        <v>761</v>
      </c>
      <c r="B168" s="19" t="s">
        <v>762</v>
      </c>
      <c r="C168" s="19" t="s">
        <v>763</v>
      </c>
      <c r="D168" s="19" t="s">
        <v>764</v>
      </c>
      <c r="E168" s="20"/>
      <c r="F168" s="21">
        <v>2</v>
      </c>
      <c r="G168" s="22" t="s">
        <v>765</v>
      </c>
      <c r="H168" s="23">
        <v>3000</v>
      </c>
      <c r="I168" s="24">
        <v>6000</v>
      </c>
      <c r="J168" s="23">
        <v>3000</v>
      </c>
      <c r="K168" s="25">
        <f t="shared" si="12"/>
        <v>3000</v>
      </c>
      <c r="L168" s="26">
        <f t="shared" si="13"/>
        <v>1</v>
      </c>
      <c r="M168" s="27">
        <v>0</v>
      </c>
      <c r="N168" s="28">
        <f t="shared" si="14"/>
        <v>6000</v>
      </c>
      <c r="O168" s="29">
        <f t="shared" si="15"/>
        <v>6000</v>
      </c>
      <c r="P168" s="29">
        <f t="shared" si="16"/>
        <v>6000</v>
      </c>
      <c r="Q168" s="30" t="e" cm="1">
        <f t="array" aca="1" ref="Q168" ca="1">spellNumber(P168)</f>
        <v>#NAME?</v>
      </c>
      <c r="R168" s="31">
        <f t="shared" si="17"/>
        <v>6200</v>
      </c>
      <c r="S168" s="32">
        <v>2500</v>
      </c>
      <c r="T168" s="32">
        <v>7500</v>
      </c>
      <c r="U168" s="32">
        <v>0</v>
      </c>
      <c r="V168" s="32">
        <v>0</v>
      </c>
      <c r="W168" s="32">
        <v>0</v>
      </c>
      <c r="X168" s="32">
        <v>5000</v>
      </c>
      <c r="Y168" s="32">
        <v>3000</v>
      </c>
      <c r="Z168" s="32">
        <v>3000</v>
      </c>
      <c r="AA168" s="33">
        <v>3000</v>
      </c>
      <c r="AB168" s="34">
        <v>3000</v>
      </c>
      <c r="AC168" s="35">
        <v>3000</v>
      </c>
      <c r="AD168" s="36"/>
    </row>
    <row r="169" spans="1:30" ht="16.5" customHeight="1" x14ac:dyDescent="0.25">
      <c r="A169" s="19" t="s">
        <v>766</v>
      </c>
      <c r="B169" s="19" t="s">
        <v>767</v>
      </c>
      <c r="C169" s="19" t="s">
        <v>768</v>
      </c>
      <c r="D169" s="19" t="s">
        <v>769</v>
      </c>
      <c r="E169" s="20" t="s">
        <v>40</v>
      </c>
      <c r="F169" s="21">
        <v>2</v>
      </c>
      <c r="G169" s="22" t="s">
        <v>770</v>
      </c>
      <c r="H169" s="23">
        <v>3800</v>
      </c>
      <c r="I169" s="24">
        <v>11000</v>
      </c>
      <c r="J169" s="23">
        <v>10000</v>
      </c>
      <c r="K169" s="25">
        <f t="shared" si="12"/>
        <v>1000</v>
      </c>
      <c r="L169" s="26">
        <f t="shared" si="13"/>
        <v>0.26315789473684209</v>
      </c>
      <c r="M169" s="27">
        <v>0</v>
      </c>
      <c r="N169" s="28">
        <f t="shared" si="14"/>
        <v>11000</v>
      </c>
      <c r="O169" s="29">
        <f t="shared" si="15"/>
        <v>11000</v>
      </c>
      <c r="P169" s="29">
        <f t="shared" si="16"/>
        <v>11000</v>
      </c>
      <c r="Q169" s="30" t="e" cm="1">
        <f t="array" aca="1" ref="Q169" ca="1">spellNumber(P169)</f>
        <v>#NAME?</v>
      </c>
      <c r="R169" s="31">
        <f t="shared" si="17"/>
        <v>11200</v>
      </c>
      <c r="S169" s="32">
        <v>12000</v>
      </c>
      <c r="T169" s="32">
        <v>3800</v>
      </c>
      <c r="U169" s="32">
        <v>0</v>
      </c>
      <c r="V169" s="32">
        <v>0</v>
      </c>
      <c r="W169" s="32">
        <v>0</v>
      </c>
      <c r="X169" s="32">
        <v>0</v>
      </c>
      <c r="Y169" s="32">
        <v>10000</v>
      </c>
      <c r="Z169" s="32">
        <v>0</v>
      </c>
      <c r="AA169" s="33">
        <v>7000</v>
      </c>
      <c r="AB169" s="34">
        <v>0</v>
      </c>
      <c r="AC169" s="35">
        <v>10000</v>
      </c>
      <c r="AD169" s="36"/>
    </row>
    <row r="170" spans="1:30" ht="16.5" customHeight="1" x14ac:dyDescent="0.25">
      <c r="A170" s="19" t="s">
        <v>771</v>
      </c>
      <c r="B170" s="19" t="s">
        <v>772</v>
      </c>
      <c r="C170" s="19" t="s">
        <v>691</v>
      </c>
      <c r="D170" s="19" t="s">
        <v>773</v>
      </c>
      <c r="E170" s="20" t="s">
        <v>40</v>
      </c>
      <c r="F170" s="21">
        <v>2</v>
      </c>
      <c r="G170" s="22" t="s">
        <v>774</v>
      </c>
      <c r="H170" s="23">
        <v>4500</v>
      </c>
      <c r="I170" s="24">
        <v>4500</v>
      </c>
      <c r="J170" s="23">
        <v>4500</v>
      </c>
      <c r="K170" s="25">
        <f t="shared" si="12"/>
        <v>0</v>
      </c>
      <c r="L170" s="26">
        <f t="shared" si="13"/>
        <v>0</v>
      </c>
      <c r="M170" s="27">
        <v>0</v>
      </c>
      <c r="N170" s="28">
        <f t="shared" si="14"/>
        <v>4500</v>
      </c>
      <c r="O170" s="29">
        <f t="shared" si="15"/>
        <v>4500</v>
      </c>
      <c r="P170" s="29">
        <f t="shared" si="16"/>
        <v>4500</v>
      </c>
      <c r="Q170" s="30" t="e" cm="1">
        <f t="array" aca="1" ref="Q170" ca="1">spellNumber(P170)</f>
        <v>#NAME?</v>
      </c>
      <c r="R170" s="31">
        <f t="shared" si="17"/>
        <v>4700</v>
      </c>
      <c r="S170" s="32">
        <v>6500</v>
      </c>
      <c r="T170" s="32">
        <v>4500</v>
      </c>
      <c r="U170" s="32">
        <v>4500</v>
      </c>
      <c r="V170" s="32">
        <v>4500</v>
      </c>
      <c r="W170" s="32">
        <v>4500</v>
      </c>
      <c r="X170" s="32">
        <v>4500</v>
      </c>
      <c r="Y170" s="32">
        <v>0</v>
      </c>
      <c r="Z170" s="32">
        <v>4500</v>
      </c>
      <c r="AA170" s="33">
        <v>4500</v>
      </c>
      <c r="AB170" s="34">
        <v>4500</v>
      </c>
      <c r="AC170" s="35">
        <v>4500</v>
      </c>
      <c r="AD170" s="36"/>
    </row>
    <row r="171" spans="1:30" ht="16.5" customHeight="1" x14ac:dyDescent="0.25">
      <c r="A171" s="19" t="s">
        <v>775</v>
      </c>
      <c r="B171" s="19" t="s">
        <v>776</v>
      </c>
      <c r="C171" s="19" t="s">
        <v>777</v>
      </c>
      <c r="D171" s="19" t="s">
        <v>778</v>
      </c>
      <c r="E171" s="20" t="s">
        <v>34</v>
      </c>
      <c r="F171" s="21">
        <v>2</v>
      </c>
      <c r="G171" s="22" t="s">
        <v>779</v>
      </c>
      <c r="H171" s="23">
        <v>4000</v>
      </c>
      <c r="I171" s="24">
        <v>4000</v>
      </c>
      <c r="J171" s="23">
        <v>4000</v>
      </c>
      <c r="K171" s="25">
        <f t="shared" si="12"/>
        <v>0</v>
      </c>
      <c r="L171" s="26">
        <f t="shared" si="13"/>
        <v>0</v>
      </c>
      <c r="M171" s="27">
        <v>0</v>
      </c>
      <c r="N171" s="28">
        <f t="shared" si="14"/>
        <v>4000</v>
      </c>
      <c r="O171" s="29">
        <f t="shared" si="15"/>
        <v>4000</v>
      </c>
      <c r="P171" s="29">
        <f t="shared" si="16"/>
        <v>4000</v>
      </c>
      <c r="Q171" s="30" t="e" cm="1">
        <f t="array" aca="1" ref="Q171" ca="1">spellNumber(P171)</f>
        <v>#NAME?</v>
      </c>
      <c r="R171" s="31">
        <f t="shared" si="17"/>
        <v>4200</v>
      </c>
      <c r="S171" s="32">
        <v>7500</v>
      </c>
      <c r="T171" s="32">
        <v>4000</v>
      </c>
      <c r="U171" s="32">
        <v>4000</v>
      </c>
      <c r="V171" s="32">
        <v>4000</v>
      </c>
      <c r="W171" s="32">
        <v>4000</v>
      </c>
      <c r="X171" s="32">
        <v>4000</v>
      </c>
      <c r="Y171" s="32">
        <v>4000</v>
      </c>
      <c r="Z171" s="32">
        <v>4000</v>
      </c>
      <c r="AA171" s="33">
        <v>4000</v>
      </c>
      <c r="AB171" s="34">
        <v>4000</v>
      </c>
      <c r="AC171" s="35">
        <v>4000</v>
      </c>
      <c r="AD171" s="36"/>
    </row>
    <row r="172" spans="1:30" ht="16.5" customHeight="1" x14ac:dyDescent="0.25">
      <c r="A172" s="19" t="s">
        <v>780</v>
      </c>
      <c r="B172" s="19" t="s">
        <v>781</v>
      </c>
      <c r="C172" s="19" t="s">
        <v>782</v>
      </c>
      <c r="D172" s="19" t="s">
        <v>753</v>
      </c>
      <c r="E172" s="20" t="s">
        <v>34</v>
      </c>
      <c r="F172" s="21">
        <v>2</v>
      </c>
      <c r="G172" s="22" t="s">
        <v>783</v>
      </c>
      <c r="H172" s="23">
        <v>4500</v>
      </c>
      <c r="I172" s="24">
        <v>4500</v>
      </c>
      <c r="J172" s="23">
        <v>4500</v>
      </c>
      <c r="K172" s="25">
        <f t="shared" si="12"/>
        <v>0</v>
      </c>
      <c r="L172" s="26">
        <f t="shared" si="13"/>
        <v>0</v>
      </c>
      <c r="M172" s="27">
        <v>0</v>
      </c>
      <c r="N172" s="28">
        <f t="shared" si="14"/>
        <v>4500</v>
      </c>
      <c r="O172" s="29">
        <f t="shared" si="15"/>
        <v>4500</v>
      </c>
      <c r="P172" s="29">
        <f t="shared" si="16"/>
        <v>4500</v>
      </c>
      <c r="Q172" s="30" t="e" cm="1">
        <f t="array" aca="1" ref="Q172" ca="1">spellNumber(P172)</f>
        <v>#NAME?</v>
      </c>
      <c r="R172" s="31">
        <f t="shared" si="17"/>
        <v>4700</v>
      </c>
      <c r="S172" s="32">
        <v>6500</v>
      </c>
      <c r="T172" s="32">
        <v>7500</v>
      </c>
      <c r="U172" s="32">
        <v>4500</v>
      </c>
      <c r="V172" s="32">
        <v>4500</v>
      </c>
      <c r="W172" s="32">
        <v>4500</v>
      </c>
      <c r="X172" s="32">
        <v>4500</v>
      </c>
      <c r="Y172" s="32">
        <v>4500</v>
      </c>
      <c r="Z172" s="32">
        <v>4500</v>
      </c>
      <c r="AA172" s="33">
        <v>4500</v>
      </c>
      <c r="AB172" s="34">
        <v>4500</v>
      </c>
      <c r="AC172" s="35">
        <v>4500</v>
      </c>
      <c r="AD172" s="36"/>
    </row>
    <row r="173" spans="1:30" ht="16.5" customHeight="1" x14ac:dyDescent="0.25">
      <c r="A173" s="19" t="s">
        <v>784</v>
      </c>
      <c r="B173" s="19" t="s">
        <v>785</v>
      </c>
      <c r="C173" s="19" t="s">
        <v>786</v>
      </c>
      <c r="D173" s="19" t="s">
        <v>787</v>
      </c>
      <c r="E173" s="20" t="s">
        <v>34</v>
      </c>
      <c r="F173" s="21">
        <v>2</v>
      </c>
      <c r="G173" s="22" t="s">
        <v>788</v>
      </c>
      <c r="H173" s="23">
        <v>4400</v>
      </c>
      <c r="I173" s="24">
        <v>4400</v>
      </c>
      <c r="J173" s="23">
        <v>4400</v>
      </c>
      <c r="K173" s="25">
        <f t="shared" si="12"/>
        <v>0</v>
      </c>
      <c r="L173" s="26">
        <f t="shared" si="13"/>
        <v>0</v>
      </c>
      <c r="M173" s="27">
        <v>0</v>
      </c>
      <c r="N173" s="28">
        <f t="shared" si="14"/>
        <v>4400</v>
      </c>
      <c r="O173" s="29">
        <f t="shared" si="15"/>
        <v>4400</v>
      </c>
      <c r="P173" s="29">
        <f t="shared" si="16"/>
        <v>4400</v>
      </c>
      <c r="Q173" s="30" t="e" cm="1">
        <f t="array" aca="1" ref="Q173" ca="1">spellNumber(P173)</f>
        <v>#NAME?</v>
      </c>
      <c r="R173" s="31">
        <f t="shared" si="17"/>
        <v>4600</v>
      </c>
      <c r="S173" s="32">
        <v>7900</v>
      </c>
      <c r="T173" s="32">
        <v>0</v>
      </c>
      <c r="U173" s="32">
        <v>4400</v>
      </c>
      <c r="V173" s="32">
        <v>8000</v>
      </c>
      <c r="W173" s="32">
        <v>4500</v>
      </c>
      <c r="X173" s="32">
        <v>5100</v>
      </c>
      <c r="Y173" s="32">
        <v>4400</v>
      </c>
      <c r="Z173" s="32">
        <v>4400</v>
      </c>
      <c r="AA173" s="33">
        <v>4400</v>
      </c>
      <c r="AB173" s="34">
        <v>0</v>
      </c>
      <c r="AC173" s="35">
        <v>6600</v>
      </c>
      <c r="AD173" s="36"/>
    </row>
    <row r="174" spans="1:30" ht="16.5" customHeight="1" x14ac:dyDescent="0.25">
      <c r="A174" s="19" t="s">
        <v>789</v>
      </c>
      <c r="B174" s="19" t="s">
        <v>790</v>
      </c>
      <c r="C174" s="19" t="s">
        <v>313</v>
      </c>
      <c r="D174" s="19" t="s">
        <v>787</v>
      </c>
      <c r="E174" s="20" t="s">
        <v>34</v>
      </c>
      <c r="F174" s="21">
        <v>2</v>
      </c>
      <c r="G174" s="22" t="s">
        <v>791</v>
      </c>
      <c r="H174" s="23">
        <v>4000</v>
      </c>
      <c r="I174" s="24">
        <v>4800</v>
      </c>
      <c r="J174" s="23">
        <v>4000</v>
      </c>
      <c r="K174" s="25">
        <f t="shared" si="12"/>
        <v>800</v>
      </c>
      <c r="L174" s="26">
        <f t="shared" si="13"/>
        <v>0.2</v>
      </c>
      <c r="M174" s="27">
        <v>0</v>
      </c>
      <c r="N174" s="28">
        <f t="shared" si="14"/>
        <v>4800</v>
      </c>
      <c r="O174" s="29">
        <f t="shared" si="15"/>
        <v>4800</v>
      </c>
      <c r="P174" s="29">
        <f t="shared" si="16"/>
        <v>4800</v>
      </c>
      <c r="Q174" s="30" t="e" cm="1">
        <f t="array" aca="1" ref="Q174" ca="1">spellNumber(P174)</f>
        <v>#NAME?</v>
      </c>
      <c r="R174" s="31">
        <f t="shared" si="17"/>
        <v>5000</v>
      </c>
      <c r="S174" s="32">
        <v>5000</v>
      </c>
      <c r="T174" s="32">
        <v>4000</v>
      </c>
      <c r="U174" s="32">
        <v>5000</v>
      </c>
      <c r="V174" s="32">
        <v>4000</v>
      </c>
      <c r="W174" s="32">
        <v>4000</v>
      </c>
      <c r="X174" s="32">
        <v>4000</v>
      </c>
      <c r="Y174" s="32">
        <v>5000</v>
      </c>
      <c r="Z174" s="32">
        <v>4200</v>
      </c>
      <c r="AA174" s="33">
        <v>4000</v>
      </c>
      <c r="AB174" s="34">
        <v>4000</v>
      </c>
      <c r="AC174" s="35">
        <v>4000</v>
      </c>
      <c r="AD174" s="36"/>
    </row>
    <row r="175" spans="1:30" ht="16.5" customHeight="1" x14ac:dyDescent="0.25">
      <c r="A175" s="19" t="s">
        <v>792</v>
      </c>
      <c r="B175" s="19" t="s">
        <v>793</v>
      </c>
      <c r="C175" s="19" t="s">
        <v>160</v>
      </c>
      <c r="D175" s="19" t="s">
        <v>794</v>
      </c>
      <c r="E175" s="20"/>
      <c r="F175" s="21">
        <v>2</v>
      </c>
      <c r="G175" s="22" t="s">
        <v>795</v>
      </c>
      <c r="H175" s="23">
        <v>4000</v>
      </c>
      <c r="I175" s="24">
        <v>21100</v>
      </c>
      <c r="J175" s="23">
        <v>5000</v>
      </c>
      <c r="K175" s="25">
        <f t="shared" si="12"/>
        <v>16100</v>
      </c>
      <c r="L175" s="26">
        <f t="shared" si="13"/>
        <v>4.0250000000000004</v>
      </c>
      <c r="M175" s="27">
        <v>0</v>
      </c>
      <c r="N175" s="28">
        <f t="shared" si="14"/>
        <v>21100</v>
      </c>
      <c r="O175" s="29">
        <f t="shared" si="15"/>
        <v>21100</v>
      </c>
      <c r="P175" s="29">
        <f t="shared" si="16"/>
        <v>21100</v>
      </c>
      <c r="Q175" s="30" t="e" cm="1">
        <f t="array" aca="1" ref="Q175" ca="1">spellNumber(P175)</f>
        <v>#NAME?</v>
      </c>
      <c r="R175" s="31">
        <f t="shared" si="17"/>
        <v>21300</v>
      </c>
      <c r="S175" s="32">
        <v>10000</v>
      </c>
      <c r="T175" s="32">
        <v>10000</v>
      </c>
      <c r="U175" s="32">
        <v>10000</v>
      </c>
      <c r="V175" s="32">
        <v>0</v>
      </c>
      <c r="W175" s="32">
        <v>0</v>
      </c>
      <c r="X175" s="32">
        <v>8000</v>
      </c>
      <c r="Y175" s="32">
        <v>6000</v>
      </c>
      <c r="Z175" s="32">
        <v>0</v>
      </c>
      <c r="AA175" s="33">
        <v>5000</v>
      </c>
      <c r="AB175" s="34">
        <v>0</v>
      </c>
      <c r="AC175" s="35">
        <v>0</v>
      </c>
      <c r="AD175" s="36"/>
    </row>
    <row r="176" spans="1:30" ht="16.5" customHeight="1" x14ac:dyDescent="0.25">
      <c r="A176" s="19" t="s">
        <v>796</v>
      </c>
      <c r="B176" s="19" t="s">
        <v>797</v>
      </c>
      <c r="C176" s="19" t="s">
        <v>798</v>
      </c>
      <c r="D176" s="19" t="s">
        <v>799</v>
      </c>
      <c r="E176" s="20" t="s">
        <v>40</v>
      </c>
      <c r="F176" s="21">
        <v>3</v>
      </c>
      <c r="G176" s="22" t="s">
        <v>800</v>
      </c>
      <c r="H176" s="23">
        <v>5500</v>
      </c>
      <c r="I176" s="24">
        <v>8000</v>
      </c>
      <c r="J176" s="23">
        <v>0</v>
      </c>
      <c r="K176" s="25">
        <f t="shared" si="12"/>
        <v>8000</v>
      </c>
      <c r="L176" s="26">
        <f t="shared" si="13"/>
        <v>1.4545454545454546</v>
      </c>
      <c r="M176" s="27">
        <v>0</v>
      </c>
      <c r="N176" s="28">
        <f t="shared" si="14"/>
        <v>8000</v>
      </c>
      <c r="O176" s="29">
        <f t="shared" si="15"/>
        <v>8000</v>
      </c>
      <c r="P176" s="29">
        <f t="shared" si="16"/>
        <v>8000</v>
      </c>
      <c r="Q176" s="30" t="e" cm="1">
        <f t="array" aca="1" ref="Q176" ca="1">spellNumber(P176)</f>
        <v>#NAME?</v>
      </c>
      <c r="R176" s="31">
        <f t="shared" si="17"/>
        <v>8200</v>
      </c>
      <c r="S176" s="32">
        <v>0</v>
      </c>
      <c r="T176" s="32">
        <v>0</v>
      </c>
      <c r="U176" s="32">
        <v>0</v>
      </c>
      <c r="V176" s="32">
        <v>21000</v>
      </c>
      <c r="W176" s="32">
        <v>0</v>
      </c>
      <c r="X176" s="32">
        <v>7000</v>
      </c>
      <c r="Y176" s="32">
        <v>0</v>
      </c>
      <c r="Z176" s="32">
        <v>15000</v>
      </c>
      <c r="AA176" s="33">
        <v>0</v>
      </c>
      <c r="AB176" s="34">
        <v>0</v>
      </c>
      <c r="AC176" s="35">
        <v>20000</v>
      </c>
      <c r="AD176" s="36"/>
    </row>
    <row r="177" spans="1:30" ht="16.5" customHeight="1" x14ac:dyDescent="0.25">
      <c r="A177" s="19" t="s">
        <v>801</v>
      </c>
      <c r="B177" s="19" t="s">
        <v>802</v>
      </c>
      <c r="C177" s="19" t="s">
        <v>803</v>
      </c>
      <c r="D177" s="19" t="s">
        <v>721</v>
      </c>
      <c r="E177" s="20" t="s">
        <v>34</v>
      </c>
      <c r="F177" s="21">
        <v>3</v>
      </c>
      <c r="G177" s="22" t="s">
        <v>804</v>
      </c>
      <c r="H177" s="23">
        <v>4000</v>
      </c>
      <c r="I177" s="24">
        <v>6800</v>
      </c>
      <c r="J177" s="23">
        <v>6000</v>
      </c>
      <c r="K177" s="25">
        <f t="shared" si="12"/>
        <v>800</v>
      </c>
      <c r="L177" s="26">
        <f t="shared" si="13"/>
        <v>0.2</v>
      </c>
      <c r="M177" s="27">
        <v>0</v>
      </c>
      <c r="N177" s="28">
        <f t="shared" si="14"/>
        <v>6800</v>
      </c>
      <c r="O177" s="29">
        <f t="shared" si="15"/>
        <v>6800</v>
      </c>
      <c r="P177" s="29">
        <f t="shared" si="16"/>
        <v>6800</v>
      </c>
      <c r="Q177" s="30" t="e" cm="1">
        <f t="array" aca="1" ref="Q177" ca="1">spellNumber(P177)</f>
        <v>#NAME?</v>
      </c>
      <c r="R177" s="31">
        <f t="shared" si="17"/>
        <v>7000</v>
      </c>
      <c r="S177" s="32">
        <v>0</v>
      </c>
      <c r="T177" s="32">
        <v>5500</v>
      </c>
      <c r="U177" s="32">
        <v>3000</v>
      </c>
      <c r="V177" s="32">
        <v>3000</v>
      </c>
      <c r="W177" s="32">
        <v>4500</v>
      </c>
      <c r="X177" s="32">
        <v>4500</v>
      </c>
      <c r="Y177" s="32">
        <v>5000</v>
      </c>
      <c r="Z177" s="32">
        <v>5200</v>
      </c>
      <c r="AA177" s="33">
        <v>4500</v>
      </c>
      <c r="AB177" s="34">
        <v>4500</v>
      </c>
      <c r="AC177" s="35">
        <v>5000</v>
      </c>
      <c r="AD177" s="36"/>
    </row>
    <row r="178" spans="1:30" ht="16.5" customHeight="1" x14ac:dyDescent="0.25">
      <c r="A178" s="19" t="s">
        <v>805</v>
      </c>
      <c r="B178" s="19" t="s">
        <v>806</v>
      </c>
      <c r="C178" s="19" t="s">
        <v>807</v>
      </c>
      <c r="D178" s="19" t="s">
        <v>808</v>
      </c>
      <c r="E178" s="20" t="s">
        <v>40</v>
      </c>
      <c r="F178" s="21">
        <v>4</v>
      </c>
      <c r="G178" s="47" t="s">
        <v>809</v>
      </c>
      <c r="H178" s="23">
        <v>8800</v>
      </c>
      <c r="I178" s="24">
        <v>8800</v>
      </c>
      <c r="J178" s="23">
        <v>8800</v>
      </c>
      <c r="K178" s="25">
        <f t="shared" si="12"/>
        <v>0</v>
      </c>
      <c r="L178" s="26">
        <f t="shared" si="13"/>
        <v>0</v>
      </c>
      <c r="M178" s="27">
        <v>0</v>
      </c>
      <c r="N178" s="28">
        <f t="shared" si="14"/>
        <v>8800</v>
      </c>
      <c r="O178" s="29">
        <f t="shared" si="15"/>
        <v>8800</v>
      </c>
      <c r="P178" s="29">
        <f t="shared" si="16"/>
        <v>8800</v>
      </c>
      <c r="Q178" s="30" t="e" cm="1">
        <f t="array" aca="1" ref="Q178" ca="1">spellNumber(P178)</f>
        <v>#NAME?</v>
      </c>
      <c r="R178" s="31">
        <f t="shared" si="17"/>
        <v>9000</v>
      </c>
      <c r="S178" s="32">
        <v>4500</v>
      </c>
      <c r="T178" s="32">
        <v>33060</v>
      </c>
      <c r="U178" s="32">
        <v>8000</v>
      </c>
      <c r="V178" s="32">
        <v>0</v>
      </c>
      <c r="W178" s="32">
        <v>16000</v>
      </c>
      <c r="X178" s="32">
        <v>11000</v>
      </c>
      <c r="Y178" s="32">
        <v>8800</v>
      </c>
      <c r="Z178" s="32">
        <v>8840</v>
      </c>
      <c r="AA178" s="33">
        <v>8840</v>
      </c>
      <c r="AB178" s="34">
        <v>8800</v>
      </c>
      <c r="AC178" s="35">
        <v>8800</v>
      </c>
      <c r="AD178" s="36"/>
    </row>
    <row r="179" spans="1:30" ht="16.5" customHeight="1" x14ac:dyDescent="0.25">
      <c r="A179" s="19" t="s">
        <v>810</v>
      </c>
      <c r="B179" s="19" t="s">
        <v>811</v>
      </c>
      <c r="C179" s="19" t="s">
        <v>812</v>
      </c>
      <c r="D179" s="19" t="s">
        <v>687</v>
      </c>
      <c r="E179" s="20" t="s">
        <v>34</v>
      </c>
      <c r="F179" s="21">
        <v>2</v>
      </c>
      <c r="G179" s="22" t="s">
        <v>813</v>
      </c>
      <c r="H179" s="23">
        <v>4000</v>
      </c>
      <c r="I179" s="24">
        <v>4000</v>
      </c>
      <c r="J179" s="23">
        <v>4000</v>
      </c>
      <c r="K179" s="25">
        <f t="shared" si="12"/>
        <v>0</v>
      </c>
      <c r="L179" s="26">
        <f t="shared" si="13"/>
        <v>0</v>
      </c>
      <c r="M179" s="27">
        <v>0</v>
      </c>
      <c r="N179" s="28">
        <f t="shared" si="14"/>
        <v>4000</v>
      </c>
      <c r="O179" s="29">
        <f t="shared" si="15"/>
        <v>4000</v>
      </c>
      <c r="P179" s="29">
        <f t="shared" si="16"/>
        <v>4000</v>
      </c>
      <c r="Q179" s="30" t="e" cm="1">
        <f t="array" aca="1" ref="Q179" ca="1">spellNumber(P179)</f>
        <v>#NAME?</v>
      </c>
      <c r="R179" s="31">
        <f t="shared" si="17"/>
        <v>4200</v>
      </c>
      <c r="S179" s="32">
        <v>0</v>
      </c>
      <c r="T179" s="32">
        <v>4000</v>
      </c>
      <c r="U179" s="32">
        <v>12000</v>
      </c>
      <c r="V179" s="32">
        <v>4000</v>
      </c>
      <c r="W179" s="32">
        <v>4000</v>
      </c>
      <c r="X179" s="32">
        <v>3000</v>
      </c>
      <c r="Y179" s="32">
        <v>3000</v>
      </c>
      <c r="Z179" s="32">
        <v>4000</v>
      </c>
      <c r="AA179" s="33">
        <v>4000</v>
      </c>
      <c r="AB179" s="34">
        <v>4000</v>
      </c>
      <c r="AC179" s="35">
        <v>4000</v>
      </c>
      <c r="AD179" s="36"/>
    </row>
    <row r="180" spans="1:30" ht="16.5" customHeight="1" x14ac:dyDescent="0.25">
      <c r="A180" s="19" t="s">
        <v>814</v>
      </c>
      <c r="B180" s="19" t="s">
        <v>815</v>
      </c>
      <c r="C180" s="19" t="s">
        <v>816</v>
      </c>
      <c r="D180" s="19" t="s">
        <v>687</v>
      </c>
      <c r="E180" s="20" t="s">
        <v>34</v>
      </c>
      <c r="F180" s="21">
        <v>2</v>
      </c>
      <c r="G180" s="22" t="s">
        <v>817</v>
      </c>
      <c r="H180" s="23">
        <v>3600</v>
      </c>
      <c r="I180" s="24">
        <v>3400</v>
      </c>
      <c r="J180" s="23">
        <v>0</v>
      </c>
      <c r="K180" s="25">
        <f t="shared" si="12"/>
        <v>3400</v>
      </c>
      <c r="L180" s="26">
        <f t="shared" si="13"/>
        <v>0.94444444444444442</v>
      </c>
      <c r="M180" s="27">
        <v>0</v>
      </c>
      <c r="N180" s="28">
        <f t="shared" si="14"/>
        <v>3400</v>
      </c>
      <c r="O180" s="29">
        <f t="shared" si="15"/>
        <v>3400</v>
      </c>
      <c r="P180" s="29">
        <f t="shared" si="16"/>
        <v>3400</v>
      </c>
      <c r="Q180" s="30" t="e" cm="1">
        <f t="array" aca="1" ref="Q180" ca="1">spellNumber(P180)</f>
        <v>#NAME?</v>
      </c>
      <c r="R180" s="31">
        <f t="shared" si="17"/>
        <v>3600</v>
      </c>
      <c r="S180" s="32">
        <v>3200</v>
      </c>
      <c r="T180" s="32">
        <v>5500</v>
      </c>
      <c r="U180" s="32">
        <v>5000</v>
      </c>
      <c r="V180" s="32">
        <v>0</v>
      </c>
      <c r="W180" s="32">
        <v>6200</v>
      </c>
      <c r="X180" s="32">
        <v>10500</v>
      </c>
      <c r="Y180" s="32">
        <v>0</v>
      </c>
      <c r="Z180" s="32">
        <v>4600</v>
      </c>
      <c r="AA180" s="33">
        <v>7000</v>
      </c>
      <c r="AB180" s="34">
        <v>3500</v>
      </c>
      <c r="AC180" s="35">
        <v>3500</v>
      </c>
      <c r="AD180" s="36"/>
    </row>
    <row r="181" spans="1:30" ht="16.5" customHeight="1" x14ac:dyDescent="0.25">
      <c r="A181" s="19" t="s">
        <v>818</v>
      </c>
      <c r="B181" s="19" t="s">
        <v>819</v>
      </c>
      <c r="C181" s="19" t="s">
        <v>820</v>
      </c>
      <c r="D181" s="19" t="s">
        <v>216</v>
      </c>
      <c r="E181" s="20" t="s">
        <v>34</v>
      </c>
      <c r="F181" s="21">
        <v>1</v>
      </c>
      <c r="G181" s="22" t="s">
        <v>739</v>
      </c>
      <c r="H181" s="23">
        <v>1800</v>
      </c>
      <c r="I181" s="24">
        <v>0</v>
      </c>
      <c r="J181" s="23">
        <v>0</v>
      </c>
      <c r="K181" s="25">
        <f t="shared" si="12"/>
        <v>0</v>
      </c>
      <c r="L181" s="26">
        <f t="shared" si="13"/>
        <v>0</v>
      </c>
      <c r="M181" s="27">
        <v>0</v>
      </c>
      <c r="N181" s="28">
        <f t="shared" si="14"/>
        <v>0</v>
      </c>
      <c r="O181" s="29">
        <f t="shared" si="15"/>
        <v>0</v>
      </c>
      <c r="P181" s="29">
        <f t="shared" si="16"/>
        <v>0</v>
      </c>
      <c r="Q181" s="30" t="e" cm="1">
        <f t="array" aca="1" ref="Q181" ca="1">spellNumber(P181)</f>
        <v>#NAME?</v>
      </c>
      <c r="R181" s="31">
        <f t="shared" si="17"/>
        <v>200</v>
      </c>
      <c r="S181" s="32">
        <v>21600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3">
        <v>0</v>
      </c>
      <c r="AB181" s="34">
        <v>0</v>
      </c>
      <c r="AC181" s="35">
        <v>0</v>
      </c>
      <c r="AD181" s="36"/>
    </row>
    <row r="182" spans="1:30" ht="16.5" customHeight="1" x14ac:dyDescent="0.25">
      <c r="A182" s="19" t="s">
        <v>821</v>
      </c>
      <c r="B182" s="19" t="s">
        <v>822</v>
      </c>
      <c r="C182" s="19" t="s">
        <v>823</v>
      </c>
      <c r="D182" s="19" t="s">
        <v>151</v>
      </c>
      <c r="E182" s="20"/>
      <c r="F182" s="21">
        <v>1</v>
      </c>
      <c r="G182" s="22" t="s">
        <v>824</v>
      </c>
      <c r="H182" s="23">
        <v>2200</v>
      </c>
      <c r="I182" s="24">
        <v>2200</v>
      </c>
      <c r="J182" s="23">
        <v>2200</v>
      </c>
      <c r="K182" s="25">
        <f t="shared" si="12"/>
        <v>0</v>
      </c>
      <c r="L182" s="26">
        <f t="shared" si="13"/>
        <v>0</v>
      </c>
      <c r="M182" s="27">
        <v>0</v>
      </c>
      <c r="N182" s="28">
        <f t="shared" si="14"/>
        <v>2200</v>
      </c>
      <c r="O182" s="29">
        <f t="shared" si="15"/>
        <v>2200</v>
      </c>
      <c r="P182" s="29">
        <f t="shared" si="16"/>
        <v>2200</v>
      </c>
      <c r="Q182" s="30" t="e" cm="1">
        <f t="array" aca="1" ref="Q182" ca="1">spellNumber(P182)</f>
        <v>#NAME?</v>
      </c>
      <c r="R182" s="31">
        <f t="shared" si="17"/>
        <v>2400</v>
      </c>
      <c r="S182" s="32">
        <v>0</v>
      </c>
      <c r="T182" s="32">
        <v>6400</v>
      </c>
      <c r="U182" s="32">
        <v>2200</v>
      </c>
      <c r="V182" s="32">
        <v>2200</v>
      </c>
      <c r="W182" s="32">
        <v>2200</v>
      </c>
      <c r="X182" s="32">
        <v>2200</v>
      </c>
      <c r="Y182" s="32">
        <v>2200</v>
      </c>
      <c r="Z182" s="32">
        <v>2200</v>
      </c>
      <c r="AA182" s="33">
        <v>2200</v>
      </c>
      <c r="AB182" s="34">
        <v>2200</v>
      </c>
      <c r="AC182" s="35">
        <v>2200</v>
      </c>
      <c r="AD182" s="36"/>
    </row>
    <row r="183" spans="1:30" ht="16.5" customHeight="1" x14ac:dyDescent="0.25">
      <c r="A183" s="19" t="s">
        <v>825</v>
      </c>
      <c r="B183" s="19" t="s">
        <v>826</v>
      </c>
      <c r="C183" s="19" t="s">
        <v>101</v>
      </c>
      <c r="D183" s="19" t="s">
        <v>827</v>
      </c>
      <c r="E183" s="20"/>
      <c r="F183" s="21">
        <v>3</v>
      </c>
      <c r="G183" s="47" t="s">
        <v>267</v>
      </c>
      <c r="H183" s="23">
        <v>6000</v>
      </c>
      <c r="I183" s="24">
        <v>6000</v>
      </c>
      <c r="J183" s="23">
        <v>0</v>
      </c>
      <c r="K183" s="25">
        <f t="shared" si="12"/>
        <v>6000</v>
      </c>
      <c r="L183" s="26">
        <f t="shared" si="13"/>
        <v>1</v>
      </c>
      <c r="M183" s="27">
        <v>0</v>
      </c>
      <c r="N183" s="28">
        <f t="shared" si="14"/>
        <v>6000</v>
      </c>
      <c r="O183" s="29">
        <f t="shared" si="15"/>
        <v>6000</v>
      </c>
      <c r="P183" s="29">
        <f t="shared" si="16"/>
        <v>6000</v>
      </c>
      <c r="Q183" s="30" t="e" cm="1">
        <f t="array" aca="1" ref="Q183" ca="1">spellNumber(P183)</f>
        <v>#NAME?</v>
      </c>
      <c r="R183" s="31">
        <f t="shared" si="17"/>
        <v>6200</v>
      </c>
      <c r="S183" s="32">
        <v>10000</v>
      </c>
      <c r="T183" s="32">
        <v>8000</v>
      </c>
      <c r="U183" s="32">
        <v>0</v>
      </c>
      <c r="V183" s="32">
        <v>6000</v>
      </c>
      <c r="W183" s="32">
        <v>6000</v>
      </c>
      <c r="X183" s="32">
        <v>6000</v>
      </c>
      <c r="Y183" s="32">
        <v>6000</v>
      </c>
      <c r="Z183" s="32">
        <v>6000</v>
      </c>
      <c r="AA183" s="33">
        <v>6000</v>
      </c>
      <c r="AB183" s="34">
        <v>6000</v>
      </c>
      <c r="AC183" s="35">
        <v>0</v>
      </c>
      <c r="AD183" s="36"/>
    </row>
    <row r="184" spans="1:30" ht="16.5" customHeight="1" x14ac:dyDescent="0.25">
      <c r="A184" s="19" t="s">
        <v>828</v>
      </c>
      <c r="B184" s="19" t="s">
        <v>829</v>
      </c>
      <c r="C184" s="19" t="s">
        <v>830</v>
      </c>
      <c r="D184" s="19" t="s">
        <v>831</v>
      </c>
      <c r="E184" s="20"/>
      <c r="F184" s="21">
        <v>2</v>
      </c>
      <c r="G184" s="22" t="s">
        <v>832</v>
      </c>
      <c r="H184" s="23">
        <v>4500</v>
      </c>
      <c r="I184" s="24">
        <v>8750</v>
      </c>
      <c r="J184" s="23">
        <v>5000</v>
      </c>
      <c r="K184" s="25">
        <f t="shared" si="12"/>
        <v>3750</v>
      </c>
      <c r="L184" s="26">
        <f t="shared" si="13"/>
        <v>0.83333333333333337</v>
      </c>
      <c r="M184" s="27">
        <v>0</v>
      </c>
      <c r="N184" s="28">
        <f t="shared" si="14"/>
        <v>8750</v>
      </c>
      <c r="O184" s="29">
        <f t="shared" si="15"/>
        <v>8750</v>
      </c>
      <c r="P184" s="29">
        <f t="shared" si="16"/>
        <v>8800</v>
      </c>
      <c r="Q184" s="30" t="e" cm="1">
        <f t="array" aca="1" ref="Q184" ca="1">spellNumber(P184)</f>
        <v>#NAME?</v>
      </c>
      <c r="R184" s="31">
        <f t="shared" si="17"/>
        <v>9000</v>
      </c>
      <c r="S184" s="32">
        <v>5000</v>
      </c>
      <c r="T184" s="32">
        <v>5000</v>
      </c>
      <c r="U184" s="32">
        <v>4500</v>
      </c>
      <c r="V184" s="32">
        <v>0</v>
      </c>
      <c r="W184" s="32">
        <v>0</v>
      </c>
      <c r="X184" s="32">
        <v>9000</v>
      </c>
      <c r="Y184" s="32">
        <v>5000</v>
      </c>
      <c r="Z184" s="32">
        <v>0</v>
      </c>
      <c r="AA184" s="33">
        <v>8750</v>
      </c>
      <c r="AB184" s="34">
        <v>8800</v>
      </c>
      <c r="AC184" s="35">
        <v>8700</v>
      </c>
      <c r="AD184" s="36"/>
    </row>
    <row r="185" spans="1:30" ht="16.5" customHeight="1" x14ac:dyDescent="0.25">
      <c r="A185" s="19" t="s">
        <v>833</v>
      </c>
      <c r="B185" s="19" t="s">
        <v>834</v>
      </c>
      <c r="C185" s="19" t="s">
        <v>306</v>
      </c>
      <c r="D185" s="19" t="s">
        <v>835</v>
      </c>
      <c r="E185" s="20"/>
      <c r="F185" s="21">
        <v>3</v>
      </c>
      <c r="G185" s="22" t="s">
        <v>836</v>
      </c>
      <c r="H185" s="23">
        <v>5500</v>
      </c>
      <c r="I185" s="24">
        <v>47400</v>
      </c>
      <c r="J185" s="23">
        <v>15000</v>
      </c>
      <c r="K185" s="25">
        <f t="shared" si="12"/>
        <v>32400</v>
      </c>
      <c r="L185" s="26">
        <f t="shared" si="13"/>
        <v>5.8909090909090907</v>
      </c>
      <c r="M185" s="27">
        <v>0</v>
      </c>
      <c r="N185" s="28">
        <f t="shared" si="14"/>
        <v>47400</v>
      </c>
      <c r="O185" s="29">
        <f t="shared" si="15"/>
        <v>47400</v>
      </c>
      <c r="P185" s="29">
        <f t="shared" si="16"/>
        <v>47400</v>
      </c>
      <c r="Q185" s="30" t="e" cm="1">
        <f t="array" aca="1" ref="Q185" ca="1">spellNumber(P185)</f>
        <v>#NAME?</v>
      </c>
      <c r="R185" s="31">
        <f t="shared" si="17"/>
        <v>47600</v>
      </c>
      <c r="S185" s="32">
        <v>0</v>
      </c>
      <c r="T185" s="32">
        <v>13000</v>
      </c>
      <c r="U185" s="32">
        <v>0</v>
      </c>
      <c r="V185" s="32">
        <v>0</v>
      </c>
      <c r="W185" s="32">
        <v>0</v>
      </c>
      <c r="X185" s="32">
        <v>0</v>
      </c>
      <c r="Y185" s="32">
        <v>0</v>
      </c>
      <c r="Z185" s="32">
        <v>10000</v>
      </c>
      <c r="AA185" s="33">
        <v>5500</v>
      </c>
      <c r="AB185" s="34">
        <v>0</v>
      </c>
      <c r="AC185" s="35">
        <v>0</v>
      </c>
      <c r="AD185" s="36"/>
    </row>
    <row r="186" spans="1:30" ht="16.5" customHeight="1" x14ac:dyDescent="0.25">
      <c r="A186" s="19" t="s">
        <v>837</v>
      </c>
      <c r="B186" s="19" t="s">
        <v>838</v>
      </c>
      <c r="C186" s="19" t="s">
        <v>839</v>
      </c>
      <c r="D186" s="19" t="s">
        <v>151</v>
      </c>
      <c r="E186" s="20"/>
      <c r="F186" s="21">
        <v>1</v>
      </c>
      <c r="G186" s="22" t="s">
        <v>840</v>
      </c>
      <c r="H186" s="23">
        <v>2500</v>
      </c>
      <c r="I186" s="24">
        <v>2500</v>
      </c>
      <c r="J186" s="23">
        <v>2500</v>
      </c>
      <c r="K186" s="25">
        <f t="shared" si="12"/>
        <v>0</v>
      </c>
      <c r="L186" s="26">
        <f t="shared" si="13"/>
        <v>0</v>
      </c>
      <c r="M186" s="27">
        <v>0</v>
      </c>
      <c r="N186" s="28">
        <f t="shared" si="14"/>
        <v>2500</v>
      </c>
      <c r="O186" s="29">
        <f t="shared" si="15"/>
        <v>2500</v>
      </c>
      <c r="P186" s="29">
        <f t="shared" si="16"/>
        <v>2500</v>
      </c>
      <c r="Q186" s="30" t="e" cm="1">
        <f t="array" aca="1" ref="Q186" ca="1">spellNumber(P186)</f>
        <v>#NAME?</v>
      </c>
      <c r="R186" s="31">
        <f t="shared" si="17"/>
        <v>2700</v>
      </c>
      <c r="S186" s="32">
        <v>5000</v>
      </c>
      <c r="T186" s="32">
        <v>2500</v>
      </c>
      <c r="U186" s="32">
        <v>2500</v>
      </c>
      <c r="V186" s="32">
        <v>2500</v>
      </c>
      <c r="W186" s="32">
        <v>2500</v>
      </c>
      <c r="X186" s="32">
        <v>2500</v>
      </c>
      <c r="Y186" s="32">
        <v>2500</v>
      </c>
      <c r="Z186" s="32">
        <v>2500</v>
      </c>
      <c r="AA186" s="33">
        <v>2500</v>
      </c>
      <c r="AB186" s="34">
        <v>2500</v>
      </c>
      <c r="AC186" s="35">
        <v>0</v>
      </c>
      <c r="AD186" s="36"/>
    </row>
    <row r="187" spans="1:30" ht="16.5" customHeight="1" x14ac:dyDescent="0.25">
      <c r="A187" s="19" t="s">
        <v>841</v>
      </c>
      <c r="B187" s="19" t="s">
        <v>470</v>
      </c>
      <c r="C187" s="19" t="s">
        <v>842</v>
      </c>
      <c r="D187" s="19" t="s">
        <v>151</v>
      </c>
      <c r="E187" s="20"/>
      <c r="F187" s="21">
        <v>1</v>
      </c>
      <c r="G187" s="22" t="s">
        <v>383</v>
      </c>
      <c r="H187" s="23">
        <v>2500</v>
      </c>
      <c r="I187" s="24">
        <v>2500</v>
      </c>
      <c r="J187" s="23">
        <v>0</v>
      </c>
      <c r="K187" s="25">
        <f t="shared" si="12"/>
        <v>2500</v>
      </c>
      <c r="L187" s="26">
        <f t="shared" si="13"/>
        <v>1</v>
      </c>
      <c r="M187" s="27">
        <v>0</v>
      </c>
      <c r="N187" s="28">
        <f t="shared" si="14"/>
        <v>2500</v>
      </c>
      <c r="O187" s="29">
        <f t="shared" si="15"/>
        <v>2500</v>
      </c>
      <c r="P187" s="29">
        <f t="shared" si="16"/>
        <v>2500</v>
      </c>
      <c r="Q187" s="30" t="e" cm="1">
        <f t="array" aca="1" ref="Q187" ca="1">spellNumber(P187)</f>
        <v>#NAME?</v>
      </c>
      <c r="R187" s="31">
        <f t="shared" si="17"/>
        <v>2700</v>
      </c>
      <c r="S187" s="32">
        <v>5000</v>
      </c>
      <c r="T187" s="32">
        <v>2500</v>
      </c>
      <c r="U187" s="32">
        <v>2500</v>
      </c>
      <c r="V187" s="32">
        <v>2500</v>
      </c>
      <c r="W187" s="32">
        <v>2500</v>
      </c>
      <c r="X187" s="32">
        <v>2500</v>
      </c>
      <c r="Y187" s="32">
        <v>2500</v>
      </c>
      <c r="Z187" s="32">
        <v>2500</v>
      </c>
      <c r="AA187" s="33">
        <v>2500</v>
      </c>
      <c r="AB187" s="34">
        <v>2500</v>
      </c>
      <c r="AC187" s="35">
        <v>2500</v>
      </c>
      <c r="AD187" s="36"/>
    </row>
    <row r="188" spans="1:30" ht="16.5" customHeight="1" x14ac:dyDescent="0.25">
      <c r="A188" s="19" t="s">
        <v>843</v>
      </c>
      <c r="B188" s="19" t="s">
        <v>844</v>
      </c>
      <c r="C188" s="19" t="s">
        <v>845</v>
      </c>
      <c r="D188" s="19" t="s">
        <v>846</v>
      </c>
      <c r="E188" s="20"/>
      <c r="F188" s="21">
        <v>2</v>
      </c>
      <c r="G188" s="22" t="s">
        <v>847</v>
      </c>
      <c r="H188" s="23">
        <v>1800</v>
      </c>
      <c r="I188" s="24">
        <v>1560</v>
      </c>
      <c r="J188" s="23">
        <v>1560</v>
      </c>
      <c r="K188" s="25">
        <f t="shared" si="12"/>
        <v>0</v>
      </c>
      <c r="L188" s="26">
        <f t="shared" si="13"/>
        <v>0</v>
      </c>
      <c r="M188" s="27">
        <v>0</v>
      </c>
      <c r="N188" s="28">
        <f t="shared" si="14"/>
        <v>1560</v>
      </c>
      <c r="O188" s="29">
        <f t="shared" si="15"/>
        <v>1560</v>
      </c>
      <c r="P188" s="29">
        <f t="shared" si="16"/>
        <v>1600</v>
      </c>
      <c r="Q188" s="30" t="e" cm="1">
        <f t="array" aca="1" ref="Q188" ca="1">spellNumber(P188)</f>
        <v>#NAME?</v>
      </c>
      <c r="R188" s="31">
        <f t="shared" si="17"/>
        <v>1800</v>
      </c>
      <c r="S188" s="32">
        <v>2000</v>
      </c>
      <c r="T188" s="32">
        <v>2000</v>
      </c>
      <c r="U188" s="32">
        <v>4400</v>
      </c>
      <c r="V188" s="32">
        <v>1800</v>
      </c>
      <c r="W188" s="32">
        <v>2000</v>
      </c>
      <c r="X188" s="32">
        <v>2000</v>
      </c>
      <c r="Y188" s="32">
        <v>2000</v>
      </c>
      <c r="Z188" s="32">
        <v>1680</v>
      </c>
      <c r="AA188" s="33">
        <v>1680</v>
      </c>
      <c r="AB188" s="34">
        <v>1680</v>
      </c>
      <c r="AC188" s="35">
        <v>1800</v>
      </c>
      <c r="AD188" s="36"/>
    </row>
    <row r="189" spans="1:30" ht="16.5" customHeight="1" x14ac:dyDescent="0.25">
      <c r="A189" s="19" t="s">
        <v>848</v>
      </c>
      <c r="B189" s="19" t="s">
        <v>849</v>
      </c>
      <c r="C189" s="19" t="s">
        <v>606</v>
      </c>
      <c r="D189" s="19" t="s">
        <v>850</v>
      </c>
      <c r="E189" s="20"/>
      <c r="F189" s="21">
        <v>1</v>
      </c>
      <c r="G189" s="22" t="s">
        <v>851</v>
      </c>
      <c r="H189" s="23">
        <v>2000</v>
      </c>
      <c r="I189" s="24">
        <v>2000</v>
      </c>
      <c r="J189" s="23">
        <v>2000</v>
      </c>
      <c r="K189" s="25">
        <f t="shared" si="12"/>
        <v>0</v>
      </c>
      <c r="L189" s="26">
        <f t="shared" si="13"/>
        <v>0</v>
      </c>
      <c r="M189" s="27">
        <v>0</v>
      </c>
      <c r="N189" s="28">
        <f t="shared" si="14"/>
        <v>2000</v>
      </c>
      <c r="O189" s="29">
        <f t="shared" si="15"/>
        <v>2000</v>
      </c>
      <c r="P189" s="29">
        <f t="shared" si="16"/>
        <v>2000</v>
      </c>
      <c r="Q189" s="30" t="e" cm="1">
        <f t="array" aca="1" ref="Q189" ca="1">spellNumber(P189)</f>
        <v>#NAME?</v>
      </c>
      <c r="R189" s="31">
        <f t="shared" si="17"/>
        <v>2200</v>
      </c>
      <c r="S189" s="32">
        <v>2500</v>
      </c>
      <c r="T189" s="32">
        <v>2500</v>
      </c>
      <c r="U189" s="32">
        <v>2000</v>
      </c>
      <c r="V189" s="32">
        <v>2500</v>
      </c>
      <c r="W189" s="32">
        <v>2500</v>
      </c>
      <c r="X189" s="32">
        <v>2000</v>
      </c>
      <c r="Y189" s="32">
        <v>2000</v>
      </c>
      <c r="Z189" s="32">
        <v>2000</v>
      </c>
      <c r="AA189" s="33">
        <v>2000</v>
      </c>
      <c r="AB189" s="34">
        <v>2000</v>
      </c>
      <c r="AC189" s="35">
        <v>2000</v>
      </c>
      <c r="AD189" s="36"/>
    </row>
    <row r="190" spans="1:30" ht="16.5" customHeight="1" x14ac:dyDescent="0.25">
      <c r="A190" s="19" t="s">
        <v>852</v>
      </c>
      <c r="B190" s="19" t="s">
        <v>853</v>
      </c>
      <c r="C190" s="19" t="s">
        <v>854</v>
      </c>
      <c r="D190" s="19" t="s">
        <v>151</v>
      </c>
      <c r="E190" s="20"/>
      <c r="F190" s="21">
        <v>1</v>
      </c>
      <c r="G190" s="22" t="s">
        <v>855</v>
      </c>
      <c r="H190" s="23">
        <v>2500</v>
      </c>
      <c r="I190" s="24">
        <v>2500</v>
      </c>
      <c r="J190" s="23">
        <v>2500</v>
      </c>
      <c r="K190" s="25">
        <f t="shared" si="12"/>
        <v>0</v>
      </c>
      <c r="L190" s="26">
        <f t="shared" si="13"/>
        <v>0</v>
      </c>
      <c r="M190" s="27">
        <v>0</v>
      </c>
      <c r="N190" s="28">
        <f t="shared" si="14"/>
        <v>2500</v>
      </c>
      <c r="O190" s="29">
        <f t="shared" si="15"/>
        <v>2500</v>
      </c>
      <c r="P190" s="29">
        <f t="shared" si="16"/>
        <v>2500</v>
      </c>
      <c r="Q190" s="30" t="e" cm="1">
        <f t="array" aca="1" ref="Q190" ca="1">spellNumber(P190)</f>
        <v>#NAME?</v>
      </c>
      <c r="R190" s="31">
        <f t="shared" si="17"/>
        <v>2700</v>
      </c>
      <c r="S190" s="32">
        <v>5000</v>
      </c>
      <c r="T190" s="32">
        <v>2500</v>
      </c>
      <c r="U190" s="32">
        <v>2500</v>
      </c>
      <c r="V190" s="32">
        <v>0</v>
      </c>
      <c r="W190" s="32">
        <v>5000</v>
      </c>
      <c r="X190" s="32">
        <v>0</v>
      </c>
      <c r="Y190" s="32">
        <v>5000</v>
      </c>
      <c r="Z190" s="32">
        <v>2500</v>
      </c>
      <c r="AA190" s="33">
        <v>2500</v>
      </c>
      <c r="AB190" s="34">
        <v>0</v>
      </c>
      <c r="AC190" s="35">
        <v>2500</v>
      </c>
      <c r="AD190" s="36"/>
    </row>
    <row r="191" spans="1:30" ht="16.5" customHeight="1" x14ac:dyDescent="0.25">
      <c r="A191" s="19" t="s">
        <v>856</v>
      </c>
      <c r="B191" s="19" t="s">
        <v>857</v>
      </c>
      <c r="C191" s="19" t="s">
        <v>858</v>
      </c>
      <c r="D191" s="19" t="s">
        <v>151</v>
      </c>
      <c r="E191" s="20"/>
      <c r="F191" s="21">
        <v>1</v>
      </c>
      <c r="G191" s="22" t="s">
        <v>859</v>
      </c>
      <c r="H191" s="23">
        <v>2200</v>
      </c>
      <c r="I191" s="24">
        <v>4000</v>
      </c>
      <c r="J191" s="23">
        <v>0</v>
      </c>
      <c r="K191" s="25">
        <f t="shared" si="12"/>
        <v>4000</v>
      </c>
      <c r="L191" s="26">
        <f t="shared" si="13"/>
        <v>1.8181818181818181</v>
      </c>
      <c r="M191" s="27">
        <v>0</v>
      </c>
      <c r="N191" s="28">
        <f t="shared" si="14"/>
        <v>4000</v>
      </c>
      <c r="O191" s="29">
        <f t="shared" si="15"/>
        <v>4000</v>
      </c>
      <c r="P191" s="29">
        <f t="shared" si="16"/>
        <v>4000</v>
      </c>
      <c r="Q191" s="30" t="e" cm="1">
        <f t="array" aca="1" ref="Q191" ca="1">spellNumber(P191)</f>
        <v>#NAME?</v>
      </c>
      <c r="R191" s="31">
        <f t="shared" si="17"/>
        <v>4200</v>
      </c>
      <c r="S191" s="32">
        <v>2200</v>
      </c>
      <c r="T191" s="32">
        <v>0</v>
      </c>
      <c r="U191" s="32">
        <v>4400</v>
      </c>
      <c r="V191" s="32">
        <v>0</v>
      </c>
      <c r="W191" s="32">
        <v>0</v>
      </c>
      <c r="X191" s="32">
        <v>6000</v>
      </c>
      <c r="Y191" s="32">
        <v>3000</v>
      </c>
      <c r="Z191" s="32">
        <v>0</v>
      </c>
      <c r="AA191" s="33">
        <v>4400</v>
      </c>
      <c r="AB191" s="34">
        <v>2200</v>
      </c>
      <c r="AC191" s="35">
        <v>2200</v>
      </c>
      <c r="AD191" s="36"/>
    </row>
    <row r="192" spans="1:30" ht="16.5" customHeight="1" x14ac:dyDescent="0.25">
      <c r="A192" s="19" t="s">
        <v>860</v>
      </c>
      <c r="B192" s="19" t="s">
        <v>861</v>
      </c>
      <c r="C192" s="19" t="s">
        <v>862</v>
      </c>
      <c r="D192" s="19" t="s">
        <v>151</v>
      </c>
      <c r="E192" s="20"/>
      <c r="F192" s="21">
        <v>1</v>
      </c>
      <c r="G192" s="22" t="s">
        <v>863</v>
      </c>
      <c r="H192" s="23">
        <v>1800</v>
      </c>
      <c r="I192" s="24">
        <v>7200</v>
      </c>
      <c r="J192" s="23">
        <v>0</v>
      </c>
      <c r="K192" s="25">
        <f t="shared" si="12"/>
        <v>7200</v>
      </c>
      <c r="L192" s="26">
        <f t="shared" si="13"/>
        <v>4</v>
      </c>
      <c r="M192" s="27">
        <v>0</v>
      </c>
      <c r="N192" s="28">
        <f t="shared" si="14"/>
        <v>7200</v>
      </c>
      <c r="O192" s="29">
        <f t="shared" si="15"/>
        <v>7200</v>
      </c>
      <c r="P192" s="29">
        <f t="shared" si="16"/>
        <v>7200</v>
      </c>
      <c r="Q192" s="30" t="e" cm="1">
        <f t="array" aca="1" ref="Q192" ca="1">spellNumber(P192)</f>
        <v>#NAME?</v>
      </c>
      <c r="R192" s="31">
        <f t="shared" si="17"/>
        <v>7400</v>
      </c>
      <c r="S192" s="32">
        <v>5000</v>
      </c>
      <c r="T192" s="32">
        <v>0</v>
      </c>
      <c r="U192" s="32">
        <v>0</v>
      </c>
      <c r="V192" s="32">
        <v>7500</v>
      </c>
      <c r="W192" s="32">
        <v>0</v>
      </c>
      <c r="X192" s="32">
        <v>3000</v>
      </c>
      <c r="Y192" s="32">
        <v>2000</v>
      </c>
      <c r="Z192" s="32">
        <v>0</v>
      </c>
      <c r="AA192" s="33">
        <v>0</v>
      </c>
      <c r="AB192" s="34">
        <v>3000</v>
      </c>
      <c r="AC192" s="35">
        <v>3000</v>
      </c>
      <c r="AD192" s="36"/>
    </row>
    <row r="193" spans="1:30" ht="16.5" customHeight="1" x14ac:dyDescent="0.25">
      <c r="A193" s="19" t="s">
        <v>864</v>
      </c>
      <c r="B193" s="19" t="s">
        <v>865</v>
      </c>
      <c r="C193" s="19" t="s">
        <v>866</v>
      </c>
      <c r="D193" s="19" t="s">
        <v>831</v>
      </c>
      <c r="E193" s="20"/>
      <c r="F193" s="21">
        <v>2</v>
      </c>
      <c r="G193" s="22" t="s">
        <v>867</v>
      </c>
      <c r="H193" s="23">
        <v>4000</v>
      </c>
      <c r="I193" s="24">
        <v>4500</v>
      </c>
      <c r="J193" s="23">
        <v>4500</v>
      </c>
      <c r="K193" s="25">
        <f t="shared" si="12"/>
        <v>0</v>
      </c>
      <c r="L193" s="26">
        <f t="shared" si="13"/>
        <v>0</v>
      </c>
      <c r="M193" s="27">
        <v>0</v>
      </c>
      <c r="N193" s="28">
        <f t="shared" si="14"/>
        <v>4500</v>
      </c>
      <c r="O193" s="29">
        <f t="shared" si="15"/>
        <v>4500</v>
      </c>
      <c r="P193" s="29">
        <f t="shared" si="16"/>
        <v>4500</v>
      </c>
      <c r="Q193" s="30" t="e" cm="1">
        <f t="array" aca="1" ref="Q193" ca="1">spellNumber(P193)</f>
        <v>#NAME?</v>
      </c>
      <c r="R193" s="31">
        <f t="shared" si="17"/>
        <v>4700</v>
      </c>
      <c r="S193" s="32">
        <v>0</v>
      </c>
      <c r="T193" s="32">
        <v>0</v>
      </c>
      <c r="U193" s="32">
        <v>15000</v>
      </c>
      <c r="V193" s="32">
        <v>3500</v>
      </c>
      <c r="W193" s="32">
        <v>5000</v>
      </c>
      <c r="X193" s="32">
        <v>4000</v>
      </c>
      <c r="Y193" s="32">
        <v>4500</v>
      </c>
      <c r="Z193" s="32">
        <v>4500</v>
      </c>
      <c r="AA193" s="33">
        <v>4500</v>
      </c>
      <c r="AB193" s="34">
        <v>4500</v>
      </c>
      <c r="AC193" s="35">
        <v>0</v>
      </c>
      <c r="AD193" s="36"/>
    </row>
    <row r="194" spans="1:30" ht="16.5" customHeight="1" x14ac:dyDescent="0.25">
      <c r="A194" s="19" t="s">
        <v>868</v>
      </c>
      <c r="B194" s="19" t="s">
        <v>869</v>
      </c>
      <c r="C194" s="19" t="s">
        <v>870</v>
      </c>
      <c r="D194" s="19" t="s">
        <v>871</v>
      </c>
      <c r="E194" s="20"/>
      <c r="F194" s="21">
        <v>3</v>
      </c>
      <c r="G194" s="22" t="s">
        <v>872</v>
      </c>
      <c r="H194" s="23">
        <v>6400</v>
      </c>
      <c r="I194" s="24">
        <v>6400</v>
      </c>
      <c r="J194" s="23">
        <v>6400</v>
      </c>
      <c r="K194" s="25">
        <f t="shared" ref="K194:K257" si="18">I194-J194</f>
        <v>0</v>
      </c>
      <c r="L194" s="26">
        <f t="shared" ref="L194:L257" si="19">K194/H194</f>
        <v>0</v>
      </c>
      <c r="M194" s="27">
        <v>0</v>
      </c>
      <c r="N194" s="28">
        <f t="shared" ref="N194:N257" si="20">I194+M194</f>
        <v>6400</v>
      </c>
      <c r="O194" s="29">
        <f t="shared" si="15"/>
        <v>6400</v>
      </c>
      <c r="P194" s="29">
        <f t="shared" si="16"/>
        <v>6400</v>
      </c>
      <c r="Q194" s="30" t="e" cm="1">
        <f t="array" aca="1" ref="Q194" ca="1">spellNumber(P194)</f>
        <v>#NAME?</v>
      </c>
      <c r="R194" s="31">
        <f t="shared" si="17"/>
        <v>6600</v>
      </c>
      <c r="S194" s="32">
        <v>13400</v>
      </c>
      <c r="T194" s="32">
        <v>6400</v>
      </c>
      <c r="U194" s="32">
        <v>6400</v>
      </c>
      <c r="V194" s="32">
        <v>0</v>
      </c>
      <c r="W194" s="32">
        <v>0</v>
      </c>
      <c r="X194" s="32">
        <v>19200</v>
      </c>
      <c r="Y194" s="32">
        <v>6400</v>
      </c>
      <c r="Z194" s="32">
        <v>6400</v>
      </c>
      <c r="AA194" s="33">
        <v>6400</v>
      </c>
      <c r="AB194" s="34">
        <v>6400</v>
      </c>
      <c r="AC194" s="35">
        <v>6400</v>
      </c>
      <c r="AD194" s="36"/>
    </row>
    <row r="195" spans="1:30" ht="16.5" customHeight="1" x14ac:dyDescent="0.25">
      <c r="A195" s="19" t="s">
        <v>873</v>
      </c>
      <c r="B195" s="19" t="s">
        <v>874</v>
      </c>
      <c r="C195" s="19" t="s">
        <v>875</v>
      </c>
      <c r="D195" s="19" t="s">
        <v>876</v>
      </c>
      <c r="E195" s="20"/>
      <c r="F195" s="21">
        <v>3</v>
      </c>
      <c r="G195" s="22" t="s">
        <v>877</v>
      </c>
      <c r="H195" s="23">
        <v>4100</v>
      </c>
      <c r="I195" s="24">
        <v>9200</v>
      </c>
      <c r="J195" s="23">
        <v>9200</v>
      </c>
      <c r="K195" s="25">
        <f t="shared" si="18"/>
        <v>0</v>
      </c>
      <c r="L195" s="26">
        <f t="shared" si="19"/>
        <v>0</v>
      </c>
      <c r="M195" s="27">
        <v>0</v>
      </c>
      <c r="N195" s="28">
        <f t="shared" si="20"/>
        <v>9200</v>
      </c>
      <c r="O195" s="29">
        <f t="shared" ref="O195:O258" si="21">N195/1</f>
        <v>9200</v>
      </c>
      <c r="P195" s="29">
        <f t="shared" ref="P195:P258" si="22">ROUND(O195,-2)</f>
        <v>9200</v>
      </c>
      <c r="Q195" s="30" t="e" cm="1">
        <f t="array" aca="1" ref="Q195" ca="1">spellNumber(P195)</f>
        <v>#NAME?</v>
      </c>
      <c r="R195" s="31">
        <f t="shared" ref="R195:R258" si="23">P195+200</f>
        <v>9400</v>
      </c>
      <c r="S195" s="32">
        <v>45000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33">
        <v>0</v>
      </c>
      <c r="AB195" s="34">
        <v>0</v>
      </c>
      <c r="AC195" s="35">
        <v>0</v>
      </c>
      <c r="AD195" s="36"/>
    </row>
    <row r="196" spans="1:30" ht="16.5" customHeight="1" x14ac:dyDescent="0.25">
      <c r="A196" s="19" t="s">
        <v>878</v>
      </c>
      <c r="B196" s="19" t="s">
        <v>879</v>
      </c>
      <c r="C196" s="19" t="s">
        <v>880</v>
      </c>
      <c r="D196" s="19" t="s">
        <v>881</v>
      </c>
      <c r="E196" s="20"/>
      <c r="F196" s="21">
        <v>3</v>
      </c>
      <c r="G196" s="22" t="s">
        <v>882</v>
      </c>
      <c r="H196" s="23">
        <v>5500</v>
      </c>
      <c r="I196" s="24">
        <v>18500</v>
      </c>
      <c r="J196" s="23">
        <v>18500</v>
      </c>
      <c r="K196" s="25">
        <f t="shared" si="18"/>
        <v>0</v>
      </c>
      <c r="L196" s="26">
        <f t="shared" si="19"/>
        <v>0</v>
      </c>
      <c r="M196" s="27">
        <v>0</v>
      </c>
      <c r="N196" s="28">
        <f t="shared" si="20"/>
        <v>18500</v>
      </c>
      <c r="O196" s="29">
        <f t="shared" si="21"/>
        <v>18500</v>
      </c>
      <c r="P196" s="29">
        <f t="shared" si="22"/>
        <v>18500</v>
      </c>
      <c r="Q196" s="30" t="e" cm="1">
        <f t="array" aca="1" ref="Q196" ca="1">spellNumber(P196)</f>
        <v>#NAME?</v>
      </c>
      <c r="R196" s="31">
        <f t="shared" si="23"/>
        <v>18700</v>
      </c>
      <c r="S196" s="32">
        <v>11000</v>
      </c>
      <c r="T196" s="32">
        <v>0</v>
      </c>
      <c r="U196" s="32">
        <v>11500</v>
      </c>
      <c r="V196" s="32">
        <v>0</v>
      </c>
      <c r="W196" s="32">
        <v>0</v>
      </c>
      <c r="X196" s="32">
        <v>0</v>
      </c>
      <c r="Y196" s="32">
        <v>16000</v>
      </c>
      <c r="Z196" s="32">
        <v>0</v>
      </c>
      <c r="AA196" s="33">
        <v>0</v>
      </c>
      <c r="AB196" s="34">
        <v>0</v>
      </c>
      <c r="AC196" s="35">
        <v>0</v>
      </c>
      <c r="AD196" s="36"/>
    </row>
    <row r="197" spans="1:30" ht="16.5" customHeight="1" x14ac:dyDescent="0.25">
      <c r="A197" s="19" t="s">
        <v>883</v>
      </c>
      <c r="B197" s="19" t="s">
        <v>884</v>
      </c>
      <c r="C197" s="19" t="s">
        <v>885</v>
      </c>
      <c r="D197" s="19" t="s">
        <v>831</v>
      </c>
      <c r="E197" s="20"/>
      <c r="F197" s="21">
        <v>2</v>
      </c>
      <c r="G197" s="22" t="s">
        <v>886</v>
      </c>
      <c r="H197" s="23">
        <v>4000</v>
      </c>
      <c r="I197" s="24">
        <v>13100</v>
      </c>
      <c r="J197" s="23">
        <v>13100</v>
      </c>
      <c r="K197" s="25">
        <f t="shared" si="18"/>
        <v>0</v>
      </c>
      <c r="L197" s="26">
        <f t="shared" si="19"/>
        <v>0</v>
      </c>
      <c r="M197" s="27">
        <v>0</v>
      </c>
      <c r="N197" s="28">
        <f t="shared" si="20"/>
        <v>13100</v>
      </c>
      <c r="O197" s="29">
        <f t="shared" si="21"/>
        <v>13100</v>
      </c>
      <c r="P197" s="29">
        <f t="shared" si="22"/>
        <v>13100</v>
      </c>
      <c r="Q197" s="30" t="e" cm="1">
        <f t="array" aca="1" ref="Q197" ca="1">spellNumber(P197)</f>
        <v>#NAME?</v>
      </c>
      <c r="R197" s="31">
        <f t="shared" si="23"/>
        <v>13300</v>
      </c>
      <c r="S197" s="32">
        <v>14500</v>
      </c>
      <c r="T197" s="32">
        <v>0</v>
      </c>
      <c r="U197" s="32">
        <v>0</v>
      </c>
      <c r="V197" s="32">
        <v>0</v>
      </c>
      <c r="W197" s="32">
        <v>20000</v>
      </c>
      <c r="X197" s="32">
        <v>0</v>
      </c>
      <c r="Y197" s="32">
        <v>4000</v>
      </c>
      <c r="Z197" s="32">
        <v>0</v>
      </c>
      <c r="AA197" s="33">
        <v>0</v>
      </c>
      <c r="AB197" s="34">
        <v>6700</v>
      </c>
      <c r="AC197" s="35">
        <v>0</v>
      </c>
      <c r="AD197" s="36"/>
    </row>
    <row r="198" spans="1:30" ht="16.5" customHeight="1" x14ac:dyDescent="0.25">
      <c r="A198" s="19" t="s">
        <v>887</v>
      </c>
      <c r="B198" s="19" t="s">
        <v>888</v>
      </c>
      <c r="C198" s="19" t="s">
        <v>889</v>
      </c>
      <c r="D198" s="19" t="s">
        <v>871</v>
      </c>
      <c r="E198" s="20"/>
      <c r="F198" s="21">
        <v>3</v>
      </c>
      <c r="G198" s="22" t="s">
        <v>890</v>
      </c>
      <c r="H198" s="23">
        <v>5500</v>
      </c>
      <c r="I198" s="24">
        <v>17200</v>
      </c>
      <c r="J198" s="23">
        <v>5000</v>
      </c>
      <c r="K198" s="25">
        <f t="shared" si="18"/>
        <v>12200</v>
      </c>
      <c r="L198" s="26">
        <f t="shared" si="19"/>
        <v>2.2181818181818183</v>
      </c>
      <c r="M198" s="27">
        <v>0</v>
      </c>
      <c r="N198" s="28">
        <f t="shared" si="20"/>
        <v>17200</v>
      </c>
      <c r="O198" s="29">
        <f t="shared" si="21"/>
        <v>17200</v>
      </c>
      <c r="P198" s="29">
        <f t="shared" si="22"/>
        <v>17200</v>
      </c>
      <c r="Q198" s="30" t="e" cm="1">
        <f t="array" aca="1" ref="Q198" ca="1">spellNumber(P198)</f>
        <v>#NAME?</v>
      </c>
      <c r="R198" s="31">
        <f t="shared" si="23"/>
        <v>17400</v>
      </c>
      <c r="S198" s="32">
        <v>16500</v>
      </c>
      <c r="T198" s="32">
        <v>0</v>
      </c>
      <c r="U198" s="32">
        <v>11000</v>
      </c>
      <c r="V198" s="32">
        <v>0</v>
      </c>
      <c r="W198" s="32">
        <v>0</v>
      </c>
      <c r="X198" s="32">
        <v>0</v>
      </c>
      <c r="Y198" s="32">
        <v>0</v>
      </c>
      <c r="Z198" s="32">
        <v>15000</v>
      </c>
      <c r="AA198" s="33">
        <v>0</v>
      </c>
      <c r="AB198" s="34">
        <v>0</v>
      </c>
      <c r="AC198" s="35">
        <v>17300</v>
      </c>
      <c r="AD198" s="36"/>
    </row>
    <row r="199" spans="1:30" ht="16.5" customHeight="1" x14ac:dyDescent="0.25">
      <c r="A199" s="19" t="s">
        <v>891</v>
      </c>
      <c r="B199" s="19" t="s">
        <v>892</v>
      </c>
      <c r="C199" s="19" t="s">
        <v>893</v>
      </c>
      <c r="D199" s="19" t="s">
        <v>151</v>
      </c>
      <c r="E199" s="20"/>
      <c r="F199" s="21">
        <v>1</v>
      </c>
      <c r="G199" s="22" t="s">
        <v>169</v>
      </c>
      <c r="H199" s="23">
        <v>1800</v>
      </c>
      <c r="I199" s="24">
        <v>0</v>
      </c>
      <c r="J199" s="23">
        <v>0</v>
      </c>
      <c r="K199" s="25">
        <f t="shared" si="18"/>
        <v>0</v>
      </c>
      <c r="L199" s="26">
        <f t="shared" si="19"/>
        <v>0</v>
      </c>
      <c r="M199" s="27">
        <v>0</v>
      </c>
      <c r="N199" s="28">
        <f t="shared" si="20"/>
        <v>0</v>
      </c>
      <c r="O199" s="29">
        <f t="shared" si="21"/>
        <v>0</v>
      </c>
      <c r="P199" s="29">
        <f t="shared" si="22"/>
        <v>0</v>
      </c>
      <c r="Q199" s="30" t="e" cm="1">
        <f t="array" aca="1" ref="Q199" ca="1">spellNumber(P199)</f>
        <v>#NAME?</v>
      </c>
      <c r="R199" s="31">
        <f t="shared" si="23"/>
        <v>200</v>
      </c>
      <c r="S199" s="32">
        <v>24100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2">
        <v>0</v>
      </c>
      <c r="Z199" s="32">
        <v>0</v>
      </c>
      <c r="AA199" s="33">
        <v>0</v>
      </c>
      <c r="AB199" s="34">
        <v>0</v>
      </c>
      <c r="AC199" s="35">
        <v>0</v>
      </c>
      <c r="AD199" s="36"/>
    </row>
    <row r="200" spans="1:30" ht="16.5" customHeight="1" x14ac:dyDescent="0.25">
      <c r="A200" s="19" t="s">
        <v>894</v>
      </c>
      <c r="B200" s="19" t="s">
        <v>895</v>
      </c>
      <c r="C200" s="19" t="s">
        <v>896</v>
      </c>
      <c r="D200" s="19" t="s">
        <v>151</v>
      </c>
      <c r="E200" s="20"/>
      <c r="F200" s="21">
        <v>1</v>
      </c>
      <c r="G200" s="22" t="s">
        <v>897</v>
      </c>
      <c r="H200" s="23">
        <v>2100</v>
      </c>
      <c r="I200" s="24">
        <v>2100</v>
      </c>
      <c r="J200" s="23">
        <v>2100</v>
      </c>
      <c r="K200" s="25">
        <f t="shared" si="18"/>
        <v>0</v>
      </c>
      <c r="L200" s="26">
        <f t="shared" si="19"/>
        <v>0</v>
      </c>
      <c r="M200" s="27">
        <v>0</v>
      </c>
      <c r="N200" s="28">
        <f t="shared" si="20"/>
        <v>2100</v>
      </c>
      <c r="O200" s="29">
        <f t="shared" si="21"/>
        <v>2100</v>
      </c>
      <c r="P200" s="29">
        <f t="shared" si="22"/>
        <v>2100</v>
      </c>
      <c r="Q200" s="30" t="e" cm="1">
        <f t="array" aca="1" ref="Q200" ca="1">spellNumber(P200)</f>
        <v>#NAME?</v>
      </c>
      <c r="R200" s="31">
        <f t="shared" si="23"/>
        <v>2300</v>
      </c>
      <c r="S200" s="32">
        <v>0</v>
      </c>
      <c r="T200" s="32">
        <v>6700</v>
      </c>
      <c r="U200" s="32">
        <v>2100</v>
      </c>
      <c r="V200" s="32">
        <v>0</v>
      </c>
      <c r="W200" s="32">
        <v>0</v>
      </c>
      <c r="X200" s="32">
        <v>6000</v>
      </c>
      <c r="Y200" s="32">
        <v>0</v>
      </c>
      <c r="Z200" s="32">
        <v>4500</v>
      </c>
      <c r="AA200" s="33">
        <v>2100</v>
      </c>
      <c r="AB200" s="34">
        <v>2100</v>
      </c>
      <c r="AC200" s="35">
        <v>2100</v>
      </c>
      <c r="AD200" s="36"/>
    </row>
    <row r="201" spans="1:30" ht="16.5" customHeight="1" x14ac:dyDescent="0.25">
      <c r="A201" s="19" t="s">
        <v>898</v>
      </c>
      <c r="B201" s="19" t="s">
        <v>899</v>
      </c>
      <c r="C201" s="19" t="s">
        <v>58</v>
      </c>
      <c r="D201" s="19" t="s">
        <v>151</v>
      </c>
      <c r="E201" s="20"/>
      <c r="F201" s="21">
        <v>1</v>
      </c>
      <c r="G201" s="22" t="s">
        <v>900</v>
      </c>
      <c r="H201" s="23">
        <v>2300</v>
      </c>
      <c r="I201" s="24">
        <v>30100</v>
      </c>
      <c r="J201" s="23">
        <v>5000</v>
      </c>
      <c r="K201" s="25">
        <f t="shared" si="18"/>
        <v>25100</v>
      </c>
      <c r="L201" s="26">
        <f t="shared" si="19"/>
        <v>10.913043478260869</v>
      </c>
      <c r="M201" s="27">
        <v>0</v>
      </c>
      <c r="N201" s="28">
        <f t="shared" si="20"/>
        <v>30100</v>
      </c>
      <c r="O201" s="29">
        <f t="shared" si="21"/>
        <v>30100</v>
      </c>
      <c r="P201" s="29">
        <f t="shared" si="22"/>
        <v>30100</v>
      </c>
      <c r="Q201" s="30" t="e" cm="1">
        <f t="array" aca="1" ref="Q201" ca="1">spellNumber(P201)</f>
        <v>#NAME?</v>
      </c>
      <c r="R201" s="31">
        <f t="shared" si="23"/>
        <v>30300</v>
      </c>
      <c r="S201" s="32">
        <v>6000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3">
        <v>0</v>
      </c>
      <c r="AB201" s="34">
        <v>0</v>
      </c>
      <c r="AC201" s="35">
        <v>0</v>
      </c>
      <c r="AD201" s="36"/>
    </row>
    <row r="202" spans="1:30" ht="16.5" customHeight="1" x14ac:dyDescent="0.25">
      <c r="A202" s="19" t="s">
        <v>901</v>
      </c>
      <c r="B202" s="19" t="s">
        <v>902</v>
      </c>
      <c r="C202" s="19" t="s">
        <v>903</v>
      </c>
      <c r="D202" s="19" t="s">
        <v>904</v>
      </c>
      <c r="E202" s="20"/>
      <c r="F202" s="21">
        <v>4</v>
      </c>
      <c r="G202" s="22" t="s">
        <v>905</v>
      </c>
      <c r="H202" s="23">
        <v>2300</v>
      </c>
      <c r="I202" s="24">
        <v>0</v>
      </c>
      <c r="J202" s="23">
        <v>0</v>
      </c>
      <c r="K202" s="25">
        <f t="shared" si="18"/>
        <v>0</v>
      </c>
      <c r="L202" s="26">
        <f t="shared" si="19"/>
        <v>0</v>
      </c>
      <c r="M202" s="27">
        <v>0</v>
      </c>
      <c r="N202" s="28">
        <f t="shared" si="20"/>
        <v>0</v>
      </c>
      <c r="O202" s="29">
        <f t="shared" si="21"/>
        <v>0</v>
      </c>
      <c r="P202" s="29">
        <f t="shared" si="22"/>
        <v>0</v>
      </c>
      <c r="Q202" s="30" t="e" cm="1">
        <f t="array" aca="1" ref="Q202" ca="1">spellNumber(P202)</f>
        <v>#NAME?</v>
      </c>
      <c r="R202" s="31">
        <f t="shared" si="23"/>
        <v>200</v>
      </c>
      <c r="S202" s="32">
        <v>31600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32">
        <v>0</v>
      </c>
      <c r="Z202" s="32">
        <v>0</v>
      </c>
      <c r="AA202" s="33">
        <v>0</v>
      </c>
      <c r="AB202" s="34">
        <v>0</v>
      </c>
      <c r="AC202" s="35">
        <v>0</v>
      </c>
      <c r="AD202" s="36"/>
    </row>
    <row r="203" spans="1:30" ht="16.5" customHeight="1" x14ac:dyDescent="0.25">
      <c r="A203" s="19" t="s">
        <v>906</v>
      </c>
      <c r="B203" s="19" t="s">
        <v>333</v>
      </c>
      <c r="C203" s="19" t="s">
        <v>907</v>
      </c>
      <c r="D203" s="19" t="s">
        <v>908</v>
      </c>
      <c r="E203" s="20"/>
      <c r="F203" s="21">
        <v>1</v>
      </c>
      <c r="G203" s="22" t="s">
        <v>909</v>
      </c>
      <c r="H203" s="23">
        <v>2200</v>
      </c>
      <c r="I203" s="24">
        <v>12400</v>
      </c>
      <c r="J203" s="23">
        <v>4000</v>
      </c>
      <c r="K203" s="25">
        <f t="shared" si="18"/>
        <v>8400</v>
      </c>
      <c r="L203" s="26">
        <f t="shared" si="19"/>
        <v>3.8181818181818183</v>
      </c>
      <c r="M203" s="27">
        <v>0</v>
      </c>
      <c r="N203" s="28">
        <f t="shared" si="20"/>
        <v>12400</v>
      </c>
      <c r="O203" s="29">
        <f t="shared" si="21"/>
        <v>12400</v>
      </c>
      <c r="P203" s="29">
        <f t="shared" si="22"/>
        <v>12400</v>
      </c>
      <c r="Q203" s="30" t="e" cm="1">
        <f t="array" aca="1" ref="Q203" ca="1">spellNumber(P203)</f>
        <v>#NAME?</v>
      </c>
      <c r="R203" s="31">
        <f t="shared" si="23"/>
        <v>12600</v>
      </c>
      <c r="S203" s="32">
        <v>3000</v>
      </c>
      <c r="T203" s="32">
        <v>0</v>
      </c>
      <c r="U203" s="32">
        <v>0</v>
      </c>
      <c r="V203" s="32">
        <v>4000</v>
      </c>
      <c r="W203" s="32">
        <v>4000</v>
      </c>
      <c r="X203" s="32">
        <v>4000</v>
      </c>
      <c r="Y203" s="32">
        <v>0</v>
      </c>
      <c r="Z203" s="32">
        <v>0</v>
      </c>
      <c r="AA203" s="33">
        <v>3000</v>
      </c>
      <c r="AB203" s="34">
        <v>0</v>
      </c>
      <c r="AC203" s="35">
        <v>0</v>
      </c>
      <c r="AD203" s="36"/>
    </row>
    <row r="204" spans="1:30" ht="16.5" customHeight="1" x14ac:dyDescent="0.25">
      <c r="A204" s="19" t="s">
        <v>910</v>
      </c>
      <c r="B204" s="19" t="s">
        <v>911</v>
      </c>
      <c r="C204" s="19" t="s">
        <v>912</v>
      </c>
      <c r="D204" s="19" t="s">
        <v>908</v>
      </c>
      <c r="E204" s="20"/>
      <c r="F204" s="21">
        <v>1</v>
      </c>
      <c r="G204" s="22" t="s">
        <v>913</v>
      </c>
      <c r="H204" s="23">
        <v>2300</v>
      </c>
      <c r="I204" s="24">
        <v>23600</v>
      </c>
      <c r="J204" s="23">
        <v>10000</v>
      </c>
      <c r="K204" s="25">
        <f t="shared" si="18"/>
        <v>13600</v>
      </c>
      <c r="L204" s="26">
        <f t="shared" si="19"/>
        <v>5.9130434782608692</v>
      </c>
      <c r="M204" s="27">
        <v>0</v>
      </c>
      <c r="N204" s="28">
        <f t="shared" si="20"/>
        <v>23600</v>
      </c>
      <c r="O204" s="29">
        <f t="shared" si="21"/>
        <v>23600</v>
      </c>
      <c r="P204" s="29">
        <f t="shared" si="22"/>
        <v>23600</v>
      </c>
      <c r="Q204" s="30" t="e" cm="1">
        <f t="array" aca="1" ref="Q204" ca="1">spellNumber(P204)</f>
        <v>#NAME?</v>
      </c>
      <c r="R204" s="31">
        <f t="shared" si="23"/>
        <v>23800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3">
        <v>15000</v>
      </c>
      <c r="AB204" s="34">
        <v>0</v>
      </c>
      <c r="AC204" s="35">
        <v>0</v>
      </c>
      <c r="AD204" s="36"/>
    </row>
    <row r="205" spans="1:30" ht="16.5" customHeight="1" x14ac:dyDescent="0.25">
      <c r="A205" s="19" t="s">
        <v>914</v>
      </c>
      <c r="B205" s="19" t="s">
        <v>915</v>
      </c>
      <c r="C205" s="19" t="s">
        <v>418</v>
      </c>
      <c r="D205" s="19" t="s">
        <v>908</v>
      </c>
      <c r="E205" s="20"/>
      <c r="F205" s="21">
        <v>1</v>
      </c>
      <c r="G205" s="22" t="s">
        <v>916</v>
      </c>
      <c r="H205" s="23">
        <v>2300</v>
      </c>
      <c r="I205" s="24">
        <v>2300</v>
      </c>
      <c r="J205" s="23">
        <v>2300</v>
      </c>
      <c r="K205" s="25">
        <f t="shared" si="18"/>
        <v>0</v>
      </c>
      <c r="L205" s="26">
        <f t="shared" si="19"/>
        <v>0</v>
      </c>
      <c r="M205" s="27">
        <v>0</v>
      </c>
      <c r="N205" s="28">
        <f t="shared" si="20"/>
        <v>2300</v>
      </c>
      <c r="O205" s="29">
        <f t="shared" si="21"/>
        <v>2300</v>
      </c>
      <c r="P205" s="29">
        <f t="shared" si="22"/>
        <v>2300</v>
      </c>
      <c r="Q205" s="30" t="e" cm="1">
        <f t="array" aca="1" ref="Q205" ca="1">spellNumber(P205)</f>
        <v>#NAME?</v>
      </c>
      <c r="R205" s="31">
        <f t="shared" si="23"/>
        <v>2500</v>
      </c>
      <c r="S205" s="32">
        <v>4800</v>
      </c>
      <c r="T205" s="32">
        <v>2300</v>
      </c>
      <c r="U205" s="32">
        <v>2300</v>
      </c>
      <c r="V205" s="32">
        <v>2300</v>
      </c>
      <c r="W205" s="32">
        <v>2300</v>
      </c>
      <c r="X205" s="32">
        <v>2300</v>
      </c>
      <c r="Y205" s="32">
        <v>2300</v>
      </c>
      <c r="Z205" s="32">
        <v>2300</v>
      </c>
      <c r="AA205" s="33">
        <v>2300</v>
      </c>
      <c r="AB205" s="34">
        <v>2300</v>
      </c>
      <c r="AC205" s="35">
        <v>2300</v>
      </c>
      <c r="AD205" s="36"/>
    </row>
    <row r="206" spans="1:30" ht="16.5" customHeight="1" x14ac:dyDescent="0.25">
      <c r="A206" s="19" t="s">
        <v>917</v>
      </c>
      <c r="B206" s="19" t="s">
        <v>918</v>
      </c>
      <c r="C206" s="19" t="s">
        <v>919</v>
      </c>
      <c r="D206" s="19" t="s">
        <v>794</v>
      </c>
      <c r="E206" s="20"/>
      <c r="F206" s="21">
        <v>2</v>
      </c>
      <c r="G206" s="47" t="s">
        <v>920</v>
      </c>
      <c r="H206" s="23">
        <v>3500</v>
      </c>
      <c r="I206" s="24">
        <v>3500</v>
      </c>
      <c r="J206" s="23">
        <v>0</v>
      </c>
      <c r="K206" s="25">
        <f t="shared" si="18"/>
        <v>3500</v>
      </c>
      <c r="L206" s="26">
        <f t="shared" si="19"/>
        <v>1</v>
      </c>
      <c r="M206" s="27">
        <v>0</v>
      </c>
      <c r="N206" s="28">
        <f t="shared" si="20"/>
        <v>3500</v>
      </c>
      <c r="O206" s="29">
        <f t="shared" si="21"/>
        <v>3500</v>
      </c>
      <c r="P206" s="29">
        <f t="shared" si="22"/>
        <v>3500</v>
      </c>
      <c r="Q206" s="30" t="e" cm="1">
        <f t="array" aca="1" ref="Q206" ca="1">spellNumber(P206)</f>
        <v>#NAME?</v>
      </c>
      <c r="R206" s="31">
        <f t="shared" si="23"/>
        <v>3700</v>
      </c>
      <c r="S206" s="32">
        <v>0</v>
      </c>
      <c r="T206" s="32">
        <v>3500</v>
      </c>
      <c r="U206" s="32">
        <v>0</v>
      </c>
      <c r="V206" s="32">
        <v>0</v>
      </c>
      <c r="W206" s="32">
        <v>0</v>
      </c>
      <c r="X206" s="32">
        <v>14000</v>
      </c>
      <c r="Y206" s="32">
        <v>10000</v>
      </c>
      <c r="Z206" s="32">
        <v>3500</v>
      </c>
      <c r="AA206" s="33">
        <v>3500</v>
      </c>
      <c r="AB206" s="34">
        <v>3500</v>
      </c>
      <c r="AC206" s="35">
        <v>3500</v>
      </c>
      <c r="AD206" s="36"/>
    </row>
    <row r="207" spans="1:30" ht="16.5" customHeight="1" x14ac:dyDescent="0.25">
      <c r="A207" s="19" t="s">
        <v>921</v>
      </c>
      <c r="B207" s="19" t="s">
        <v>922</v>
      </c>
      <c r="C207" s="19" t="s">
        <v>923</v>
      </c>
      <c r="D207" s="19" t="s">
        <v>794</v>
      </c>
      <c r="E207" s="20"/>
      <c r="F207" s="21">
        <v>2</v>
      </c>
      <c r="G207" s="47" t="s">
        <v>35</v>
      </c>
      <c r="H207" s="23">
        <v>4200</v>
      </c>
      <c r="I207" s="24">
        <v>4200</v>
      </c>
      <c r="J207" s="23">
        <v>0</v>
      </c>
      <c r="K207" s="25">
        <f t="shared" si="18"/>
        <v>4200</v>
      </c>
      <c r="L207" s="26">
        <f t="shared" si="19"/>
        <v>1</v>
      </c>
      <c r="M207" s="27">
        <v>0</v>
      </c>
      <c r="N207" s="28">
        <f t="shared" si="20"/>
        <v>4200</v>
      </c>
      <c r="O207" s="29">
        <f t="shared" si="21"/>
        <v>4200</v>
      </c>
      <c r="P207" s="29">
        <f t="shared" si="22"/>
        <v>4200</v>
      </c>
      <c r="Q207" s="30" t="e" cm="1">
        <f t="array" aca="1" ref="Q207" ca="1">spellNumber(P207)</f>
        <v>#NAME?</v>
      </c>
      <c r="R207" s="31">
        <f t="shared" si="23"/>
        <v>4400</v>
      </c>
      <c r="S207" s="32">
        <v>0</v>
      </c>
      <c r="T207" s="32">
        <v>8200</v>
      </c>
      <c r="U207" s="32">
        <v>4100</v>
      </c>
      <c r="V207" s="32">
        <v>4100</v>
      </c>
      <c r="W207" s="32">
        <v>0</v>
      </c>
      <c r="X207" s="32">
        <v>12800</v>
      </c>
      <c r="Y207" s="32">
        <v>4200</v>
      </c>
      <c r="Z207" s="32">
        <v>4200</v>
      </c>
      <c r="AA207" s="33">
        <v>4200</v>
      </c>
      <c r="AB207" s="34">
        <v>4200</v>
      </c>
      <c r="AC207" s="35">
        <v>4200</v>
      </c>
      <c r="AD207" s="36"/>
    </row>
    <row r="208" spans="1:30" ht="16.5" customHeight="1" x14ac:dyDescent="0.25">
      <c r="A208" s="19" t="s">
        <v>924</v>
      </c>
      <c r="B208" s="19" t="s">
        <v>925</v>
      </c>
      <c r="C208" s="19" t="s">
        <v>926</v>
      </c>
      <c r="D208" s="19" t="s">
        <v>927</v>
      </c>
      <c r="E208" s="20"/>
      <c r="F208" s="21">
        <v>2</v>
      </c>
      <c r="G208" s="22" t="s">
        <v>928</v>
      </c>
      <c r="H208" s="23">
        <v>3700</v>
      </c>
      <c r="I208" s="24">
        <v>15720</v>
      </c>
      <c r="J208" s="23">
        <v>10000</v>
      </c>
      <c r="K208" s="25">
        <f t="shared" si="18"/>
        <v>5720</v>
      </c>
      <c r="L208" s="26">
        <f t="shared" si="19"/>
        <v>1.5459459459459459</v>
      </c>
      <c r="M208" s="27">
        <v>0</v>
      </c>
      <c r="N208" s="28">
        <f t="shared" si="20"/>
        <v>15720</v>
      </c>
      <c r="O208" s="29">
        <f t="shared" si="21"/>
        <v>15720</v>
      </c>
      <c r="P208" s="29">
        <f t="shared" si="22"/>
        <v>15700</v>
      </c>
      <c r="Q208" s="30" t="e" cm="1">
        <f t="array" aca="1" ref="Q208" ca="1">spellNumber(P208)</f>
        <v>#NAME?</v>
      </c>
      <c r="R208" s="31">
        <f t="shared" si="23"/>
        <v>15900</v>
      </c>
      <c r="S208" s="32">
        <v>0</v>
      </c>
      <c r="T208" s="32">
        <v>9400</v>
      </c>
      <c r="U208" s="32">
        <v>3700</v>
      </c>
      <c r="V208" s="32">
        <v>0</v>
      </c>
      <c r="W208" s="32">
        <v>0</v>
      </c>
      <c r="X208" s="32">
        <v>7400</v>
      </c>
      <c r="Y208" s="32">
        <v>0</v>
      </c>
      <c r="Z208" s="32">
        <v>5180</v>
      </c>
      <c r="AA208" s="33">
        <v>0</v>
      </c>
      <c r="AB208" s="34">
        <v>0</v>
      </c>
      <c r="AC208" s="35">
        <v>5000</v>
      </c>
      <c r="AD208" s="36"/>
    </row>
    <row r="209" spans="1:30" ht="16.5" customHeight="1" x14ac:dyDescent="0.25">
      <c r="A209" s="19" t="s">
        <v>929</v>
      </c>
      <c r="B209" s="19" t="s">
        <v>930</v>
      </c>
      <c r="C209" s="19" t="s">
        <v>931</v>
      </c>
      <c r="D209" s="19" t="s">
        <v>908</v>
      </c>
      <c r="E209" s="20"/>
      <c r="F209" s="21">
        <v>1</v>
      </c>
      <c r="G209" s="47" t="s">
        <v>932</v>
      </c>
      <c r="H209" s="23">
        <v>2300</v>
      </c>
      <c r="I209" s="24">
        <v>3460</v>
      </c>
      <c r="J209" s="23">
        <v>3500</v>
      </c>
      <c r="K209" s="25">
        <f t="shared" si="18"/>
        <v>-40</v>
      </c>
      <c r="L209" s="26">
        <f t="shared" si="19"/>
        <v>-1.7391304347826087E-2</v>
      </c>
      <c r="M209" s="27">
        <v>0</v>
      </c>
      <c r="N209" s="28">
        <f t="shared" si="20"/>
        <v>3460</v>
      </c>
      <c r="O209" s="29">
        <f t="shared" si="21"/>
        <v>3460</v>
      </c>
      <c r="P209" s="29">
        <f t="shared" si="22"/>
        <v>3500</v>
      </c>
      <c r="Q209" s="30" t="e" cm="1">
        <f t="array" aca="1" ref="Q209" ca="1">spellNumber(P209)</f>
        <v>#NAME?</v>
      </c>
      <c r="R209" s="31">
        <f t="shared" si="23"/>
        <v>3700</v>
      </c>
      <c r="S209" s="32">
        <v>0</v>
      </c>
      <c r="T209" s="32">
        <v>0</v>
      </c>
      <c r="U209" s="32">
        <v>0</v>
      </c>
      <c r="V209" s="32">
        <v>0</v>
      </c>
      <c r="W209" s="32">
        <v>7000</v>
      </c>
      <c r="X209" s="32">
        <v>5000</v>
      </c>
      <c r="Y209" s="32">
        <v>6000</v>
      </c>
      <c r="Z209" s="32">
        <v>2320</v>
      </c>
      <c r="AA209" s="33">
        <v>2320</v>
      </c>
      <c r="AB209" s="34">
        <v>0</v>
      </c>
      <c r="AC209" s="35">
        <v>3500</v>
      </c>
      <c r="AD209" s="36"/>
    </row>
    <row r="210" spans="1:30" ht="16.5" customHeight="1" x14ac:dyDescent="0.25">
      <c r="A210" s="19" t="s">
        <v>933</v>
      </c>
      <c r="B210" s="19" t="s">
        <v>934</v>
      </c>
      <c r="C210" s="19" t="s">
        <v>935</v>
      </c>
      <c r="D210" s="19" t="s">
        <v>730</v>
      </c>
      <c r="E210" s="20"/>
      <c r="F210" s="21">
        <v>2</v>
      </c>
      <c r="G210" s="45" t="s">
        <v>936</v>
      </c>
      <c r="H210" s="23">
        <v>4400</v>
      </c>
      <c r="I210" s="24">
        <v>5794</v>
      </c>
      <c r="J210" s="23">
        <v>5794</v>
      </c>
      <c r="K210" s="25">
        <f t="shared" si="18"/>
        <v>0</v>
      </c>
      <c r="L210" s="26">
        <f t="shared" si="19"/>
        <v>0</v>
      </c>
      <c r="M210" s="27">
        <v>0</v>
      </c>
      <c r="N210" s="28">
        <f t="shared" si="20"/>
        <v>5794</v>
      </c>
      <c r="O210" s="29">
        <f t="shared" si="21"/>
        <v>5794</v>
      </c>
      <c r="P210" s="29">
        <f t="shared" si="22"/>
        <v>5800</v>
      </c>
      <c r="Q210" s="30" t="e" cm="1">
        <f t="array" aca="1" ref="Q210" ca="1">spellNumber(P210)</f>
        <v>#NAME?</v>
      </c>
      <c r="R210" s="31">
        <f t="shared" si="23"/>
        <v>6000</v>
      </c>
      <c r="S210" s="32">
        <v>0</v>
      </c>
      <c r="T210" s="32">
        <v>0</v>
      </c>
      <c r="U210" s="32">
        <v>18200</v>
      </c>
      <c r="V210" s="32">
        <v>0</v>
      </c>
      <c r="W210" s="32">
        <v>0</v>
      </c>
      <c r="X210" s="32">
        <v>5000</v>
      </c>
      <c r="Y210" s="32">
        <v>5770</v>
      </c>
      <c r="Z210" s="32">
        <v>5766</v>
      </c>
      <c r="AA210" s="33">
        <v>5770</v>
      </c>
      <c r="AB210" s="34">
        <v>5800</v>
      </c>
      <c r="AC210" s="35">
        <v>5700</v>
      </c>
      <c r="AD210" s="36"/>
    </row>
    <row r="211" spans="1:30" ht="16.5" customHeight="1" x14ac:dyDescent="0.25">
      <c r="A211" s="19" t="s">
        <v>937</v>
      </c>
      <c r="B211" s="19" t="s">
        <v>252</v>
      </c>
      <c r="C211" s="19" t="s">
        <v>938</v>
      </c>
      <c r="D211" s="19" t="s">
        <v>908</v>
      </c>
      <c r="E211" s="20"/>
      <c r="F211" s="21">
        <v>1</v>
      </c>
      <c r="G211" s="22" t="s">
        <v>939</v>
      </c>
      <c r="H211" s="23">
        <v>2200</v>
      </c>
      <c r="I211" s="24">
        <v>2200</v>
      </c>
      <c r="J211" s="23">
        <v>2200</v>
      </c>
      <c r="K211" s="25">
        <f t="shared" si="18"/>
        <v>0</v>
      </c>
      <c r="L211" s="26">
        <f t="shared" si="19"/>
        <v>0</v>
      </c>
      <c r="M211" s="27">
        <v>0</v>
      </c>
      <c r="N211" s="28">
        <f t="shared" si="20"/>
        <v>2200</v>
      </c>
      <c r="O211" s="29">
        <f t="shared" si="21"/>
        <v>2200</v>
      </c>
      <c r="P211" s="29">
        <f t="shared" si="22"/>
        <v>2200</v>
      </c>
      <c r="Q211" s="30" t="e" cm="1">
        <f t="array" aca="1" ref="Q211" ca="1">spellNumber(P211)</f>
        <v>#NAME?</v>
      </c>
      <c r="R211" s="31">
        <f t="shared" si="23"/>
        <v>2400</v>
      </c>
      <c r="S211" s="32">
        <v>4200</v>
      </c>
      <c r="T211" s="32">
        <v>2200</v>
      </c>
      <c r="U211" s="32">
        <v>2200</v>
      </c>
      <c r="V211" s="32">
        <v>2200</v>
      </c>
      <c r="W211" s="32">
        <v>2200</v>
      </c>
      <c r="X211" s="32">
        <v>2200</v>
      </c>
      <c r="Y211" s="32">
        <v>2200</v>
      </c>
      <c r="Z211" s="32">
        <v>2200</v>
      </c>
      <c r="AA211" s="33">
        <v>2200</v>
      </c>
      <c r="AB211" s="34">
        <v>2200</v>
      </c>
      <c r="AC211" s="35">
        <v>2200</v>
      </c>
      <c r="AD211" s="36"/>
    </row>
    <row r="212" spans="1:30" ht="16.5" customHeight="1" x14ac:dyDescent="0.25">
      <c r="A212" s="19" t="s">
        <v>940</v>
      </c>
      <c r="B212" s="19" t="s">
        <v>941</v>
      </c>
      <c r="C212" s="19" t="s">
        <v>942</v>
      </c>
      <c r="D212" s="19" t="s">
        <v>730</v>
      </c>
      <c r="E212" s="20"/>
      <c r="F212" s="21">
        <v>2</v>
      </c>
      <c r="G212" s="22" t="s">
        <v>943</v>
      </c>
      <c r="H212" s="23">
        <v>3600</v>
      </c>
      <c r="I212" s="24">
        <v>9700</v>
      </c>
      <c r="J212" s="23">
        <v>4000</v>
      </c>
      <c r="K212" s="25">
        <f t="shared" si="18"/>
        <v>5700</v>
      </c>
      <c r="L212" s="26">
        <f t="shared" si="19"/>
        <v>1.5833333333333333</v>
      </c>
      <c r="M212" s="27">
        <v>0</v>
      </c>
      <c r="N212" s="28">
        <f t="shared" si="20"/>
        <v>9700</v>
      </c>
      <c r="O212" s="29">
        <f t="shared" si="21"/>
        <v>9700</v>
      </c>
      <c r="P212" s="29">
        <f t="shared" si="22"/>
        <v>9700</v>
      </c>
      <c r="Q212" s="30" t="e" cm="1">
        <f t="array" aca="1" ref="Q212" ca="1">spellNumber(P212)</f>
        <v>#NAME?</v>
      </c>
      <c r="R212" s="31">
        <f t="shared" si="23"/>
        <v>9900</v>
      </c>
      <c r="S212" s="32">
        <v>7600</v>
      </c>
      <c r="T212" s="32">
        <v>3600</v>
      </c>
      <c r="U212" s="32">
        <v>0</v>
      </c>
      <c r="V212" s="32">
        <v>0</v>
      </c>
      <c r="W212" s="32">
        <v>0</v>
      </c>
      <c r="X212" s="32">
        <v>0</v>
      </c>
      <c r="Y212" s="32">
        <v>18000</v>
      </c>
      <c r="Z212" s="32">
        <v>0</v>
      </c>
      <c r="AA212" s="33">
        <v>4700</v>
      </c>
      <c r="AB212" s="34">
        <v>0</v>
      </c>
      <c r="AC212" s="35">
        <v>3600</v>
      </c>
      <c r="AD212" s="36"/>
    </row>
    <row r="213" spans="1:30" ht="16.5" customHeight="1" x14ac:dyDescent="0.25">
      <c r="A213" s="19" t="s">
        <v>944</v>
      </c>
      <c r="B213" s="19" t="s">
        <v>945</v>
      </c>
      <c r="C213" s="19" t="s">
        <v>946</v>
      </c>
      <c r="D213" s="19" t="s">
        <v>908</v>
      </c>
      <c r="E213" s="20"/>
      <c r="F213" s="21">
        <v>1</v>
      </c>
      <c r="G213" s="47" t="s">
        <v>947</v>
      </c>
      <c r="H213" s="23">
        <v>2200</v>
      </c>
      <c r="I213" s="24">
        <v>10800</v>
      </c>
      <c r="J213" s="23">
        <v>6000</v>
      </c>
      <c r="K213" s="25">
        <f t="shared" si="18"/>
        <v>4800</v>
      </c>
      <c r="L213" s="26">
        <f t="shared" si="19"/>
        <v>2.1818181818181817</v>
      </c>
      <c r="M213" s="27">
        <v>0</v>
      </c>
      <c r="N213" s="28">
        <f t="shared" si="20"/>
        <v>10800</v>
      </c>
      <c r="O213" s="29">
        <f t="shared" si="21"/>
        <v>10800</v>
      </c>
      <c r="P213" s="29">
        <f t="shared" si="22"/>
        <v>10800</v>
      </c>
      <c r="Q213" s="30" t="e" cm="1">
        <f t="array" aca="1" ref="Q213" ca="1">spellNumber(P213)</f>
        <v>#NAME?</v>
      </c>
      <c r="R213" s="31">
        <f t="shared" si="23"/>
        <v>11000</v>
      </c>
      <c r="S213" s="32">
        <v>0</v>
      </c>
      <c r="T213" s="32">
        <v>5000</v>
      </c>
      <c r="U213" s="32">
        <v>5000</v>
      </c>
      <c r="V213" s="32">
        <v>0</v>
      </c>
      <c r="W213" s="32">
        <v>5000</v>
      </c>
      <c r="X213" s="32">
        <v>0</v>
      </c>
      <c r="Y213" s="32">
        <v>0</v>
      </c>
      <c r="Z213" s="32">
        <v>0</v>
      </c>
      <c r="AA213" s="33">
        <v>6000</v>
      </c>
      <c r="AB213" s="34">
        <v>0</v>
      </c>
      <c r="AC213" s="35">
        <v>0</v>
      </c>
      <c r="AD213" s="36"/>
    </row>
    <row r="214" spans="1:30" ht="16.5" customHeight="1" x14ac:dyDescent="0.25">
      <c r="A214" s="19" t="s">
        <v>948</v>
      </c>
      <c r="B214" s="19" t="s">
        <v>949</v>
      </c>
      <c r="C214" s="19" t="s">
        <v>950</v>
      </c>
      <c r="D214" s="19" t="s">
        <v>951</v>
      </c>
      <c r="E214" s="20"/>
      <c r="F214" s="21">
        <v>2</v>
      </c>
      <c r="G214" s="22" t="s">
        <v>538</v>
      </c>
      <c r="H214" s="23">
        <v>4000</v>
      </c>
      <c r="I214" s="24">
        <v>4600</v>
      </c>
      <c r="J214" s="23">
        <v>4600</v>
      </c>
      <c r="K214" s="25">
        <f t="shared" si="18"/>
        <v>0</v>
      </c>
      <c r="L214" s="26">
        <f t="shared" si="19"/>
        <v>0</v>
      </c>
      <c r="M214" s="27">
        <v>0</v>
      </c>
      <c r="N214" s="28">
        <f t="shared" si="20"/>
        <v>4600</v>
      </c>
      <c r="O214" s="29">
        <f t="shared" si="21"/>
        <v>4600</v>
      </c>
      <c r="P214" s="29">
        <f t="shared" si="22"/>
        <v>4600</v>
      </c>
      <c r="Q214" s="30" t="e" cm="1">
        <f t="array" aca="1" ref="Q214" ca="1">spellNumber(P214)</f>
        <v>#NAME?</v>
      </c>
      <c r="R214" s="31">
        <f t="shared" si="23"/>
        <v>4800</v>
      </c>
      <c r="S214" s="32">
        <v>5000</v>
      </c>
      <c r="T214" s="32">
        <v>4000</v>
      </c>
      <c r="U214" s="32">
        <v>4000</v>
      </c>
      <c r="V214" s="32">
        <v>4000</v>
      </c>
      <c r="W214" s="32">
        <v>4000</v>
      </c>
      <c r="X214" s="32">
        <v>4000</v>
      </c>
      <c r="Y214" s="32">
        <v>4000</v>
      </c>
      <c r="Z214" s="32">
        <v>4600</v>
      </c>
      <c r="AA214" s="33">
        <v>4600</v>
      </c>
      <c r="AB214" s="34">
        <v>4600</v>
      </c>
      <c r="AC214" s="35">
        <v>4600</v>
      </c>
      <c r="AD214" s="36"/>
    </row>
    <row r="215" spans="1:30" ht="16.5" customHeight="1" x14ac:dyDescent="0.25">
      <c r="A215" s="19" t="s">
        <v>952</v>
      </c>
      <c r="B215" s="19" t="s">
        <v>953</v>
      </c>
      <c r="C215" s="19" t="s">
        <v>438</v>
      </c>
      <c r="D215" s="19" t="s">
        <v>908</v>
      </c>
      <c r="E215" s="20"/>
      <c r="F215" s="21">
        <v>1</v>
      </c>
      <c r="G215" s="22" t="s">
        <v>954</v>
      </c>
      <c r="H215" s="23">
        <v>2200</v>
      </c>
      <c r="I215" s="24">
        <v>2200</v>
      </c>
      <c r="J215" s="23">
        <v>2000</v>
      </c>
      <c r="K215" s="25">
        <f t="shared" si="18"/>
        <v>200</v>
      </c>
      <c r="L215" s="26">
        <f t="shared" si="19"/>
        <v>9.0909090909090912E-2</v>
      </c>
      <c r="M215" s="27">
        <v>0</v>
      </c>
      <c r="N215" s="28">
        <f t="shared" si="20"/>
        <v>2200</v>
      </c>
      <c r="O215" s="29">
        <f t="shared" si="21"/>
        <v>2200</v>
      </c>
      <c r="P215" s="29">
        <f t="shared" si="22"/>
        <v>2200</v>
      </c>
      <c r="Q215" s="30" t="e" cm="1">
        <f t="array" aca="1" ref="Q215" ca="1">spellNumber(P215)</f>
        <v>#NAME?</v>
      </c>
      <c r="R215" s="31">
        <f t="shared" si="23"/>
        <v>2400</v>
      </c>
      <c r="S215" s="32">
        <v>5000</v>
      </c>
      <c r="T215" s="32">
        <v>2000</v>
      </c>
      <c r="U215" s="32">
        <v>0</v>
      </c>
      <c r="V215" s="32">
        <v>0</v>
      </c>
      <c r="W215" s="32">
        <v>6400</v>
      </c>
      <c r="X215" s="32">
        <v>2000</v>
      </c>
      <c r="Y215" s="32">
        <v>2000</v>
      </c>
      <c r="Z215" s="32">
        <v>2700</v>
      </c>
      <c r="AA215" s="33">
        <v>2200</v>
      </c>
      <c r="AB215" s="34">
        <v>2200</v>
      </c>
      <c r="AC215" s="35">
        <v>2200</v>
      </c>
      <c r="AD215" s="36"/>
    </row>
    <row r="216" spans="1:30" ht="16.5" customHeight="1" x14ac:dyDescent="0.25">
      <c r="A216" s="19" t="s">
        <v>955</v>
      </c>
      <c r="B216" s="19" t="s">
        <v>707</v>
      </c>
      <c r="C216" s="19" t="s">
        <v>707</v>
      </c>
      <c r="D216" s="19" t="s">
        <v>707</v>
      </c>
      <c r="E216" s="20"/>
      <c r="F216" s="21">
        <v>0</v>
      </c>
      <c r="G216" s="48" t="s">
        <v>956</v>
      </c>
      <c r="H216" s="23">
        <v>0</v>
      </c>
      <c r="I216" s="24">
        <v>0</v>
      </c>
      <c r="J216" s="23">
        <v>0</v>
      </c>
      <c r="K216" s="25">
        <f t="shared" si="18"/>
        <v>0</v>
      </c>
      <c r="L216" s="26" t="e">
        <f t="shared" si="19"/>
        <v>#DIV/0!</v>
      </c>
      <c r="M216" s="27">
        <v>0</v>
      </c>
      <c r="N216" s="28">
        <f t="shared" si="20"/>
        <v>0</v>
      </c>
      <c r="O216" s="29">
        <f t="shared" si="21"/>
        <v>0</v>
      </c>
      <c r="P216" s="29">
        <f t="shared" si="22"/>
        <v>0</v>
      </c>
      <c r="Q216" s="30" t="e" cm="1">
        <f t="array" aca="1" ref="Q216" ca="1">spellNumber(P216)</f>
        <v>#NAME?</v>
      </c>
      <c r="R216" s="31">
        <f t="shared" si="23"/>
        <v>200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3">
        <v>0</v>
      </c>
      <c r="AB216" s="34">
        <v>0</v>
      </c>
      <c r="AC216" s="35">
        <v>0</v>
      </c>
      <c r="AD216" s="36"/>
    </row>
    <row r="217" spans="1:30" ht="16.5" customHeight="1" x14ac:dyDescent="0.25">
      <c r="A217" s="19" t="s">
        <v>957</v>
      </c>
      <c r="B217" s="19" t="s">
        <v>958</v>
      </c>
      <c r="C217" s="19" t="s">
        <v>959</v>
      </c>
      <c r="D217" s="19" t="s">
        <v>908</v>
      </c>
      <c r="E217" s="20"/>
      <c r="F217" s="21">
        <v>1</v>
      </c>
      <c r="G217" s="22" t="s">
        <v>960</v>
      </c>
      <c r="H217" s="23">
        <v>2400</v>
      </c>
      <c r="I217" s="24">
        <v>2400</v>
      </c>
      <c r="J217" s="23">
        <v>2400</v>
      </c>
      <c r="K217" s="25">
        <f t="shared" si="18"/>
        <v>0</v>
      </c>
      <c r="L217" s="26">
        <f t="shared" si="19"/>
        <v>0</v>
      </c>
      <c r="M217" s="27">
        <v>0</v>
      </c>
      <c r="N217" s="28">
        <f t="shared" si="20"/>
        <v>2400</v>
      </c>
      <c r="O217" s="29">
        <f t="shared" si="21"/>
        <v>2400</v>
      </c>
      <c r="P217" s="29">
        <f t="shared" si="22"/>
        <v>2400</v>
      </c>
      <c r="Q217" s="30" t="e" cm="1">
        <f t="array" aca="1" ref="Q217" ca="1">spellNumber(P217)</f>
        <v>#NAME?</v>
      </c>
      <c r="R217" s="31">
        <f t="shared" si="23"/>
        <v>2600</v>
      </c>
      <c r="S217" s="32">
        <v>5400</v>
      </c>
      <c r="T217" s="32">
        <v>2400</v>
      </c>
      <c r="U217" s="32">
        <v>2400</v>
      </c>
      <c r="V217" s="32">
        <v>2400</v>
      </c>
      <c r="W217" s="32">
        <v>2400</v>
      </c>
      <c r="X217" s="32">
        <v>2400</v>
      </c>
      <c r="Y217" s="32">
        <v>2400</v>
      </c>
      <c r="Z217" s="32">
        <v>2400</v>
      </c>
      <c r="AA217" s="33">
        <v>2400</v>
      </c>
      <c r="AB217" s="34">
        <v>2400</v>
      </c>
      <c r="AC217" s="35">
        <v>2400</v>
      </c>
      <c r="AD217" s="36"/>
    </row>
    <row r="218" spans="1:30" ht="16.5" customHeight="1" x14ac:dyDescent="0.25">
      <c r="A218" s="19" t="s">
        <v>961</v>
      </c>
      <c r="B218" s="19" t="s">
        <v>962</v>
      </c>
      <c r="C218" s="19" t="s">
        <v>963</v>
      </c>
      <c r="D218" s="19" t="s">
        <v>964</v>
      </c>
      <c r="E218" s="20"/>
      <c r="F218" s="21">
        <v>3</v>
      </c>
      <c r="G218" s="22" t="s">
        <v>965</v>
      </c>
      <c r="H218" s="23">
        <v>4000</v>
      </c>
      <c r="I218" s="24">
        <v>3950</v>
      </c>
      <c r="J218" s="23">
        <v>3940</v>
      </c>
      <c r="K218" s="25">
        <f t="shared" si="18"/>
        <v>10</v>
      </c>
      <c r="L218" s="26">
        <f t="shared" si="19"/>
        <v>2.5000000000000001E-3</v>
      </c>
      <c r="M218" s="27">
        <v>0</v>
      </c>
      <c r="N218" s="28">
        <f t="shared" si="20"/>
        <v>3950</v>
      </c>
      <c r="O218" s="29">
        <f t="shared" si="21"/>
        <v>3950</v>
      </c>
      <c r="P218" s="29">
        <f t="shared" si="22"/>
        <v>4000</v>
      </c>
      <c r="Q218" s="30" t="e" cm="1">
        <f t="array" aca="1" ref="Q218" ca="1">spellNumber(P218)</f>
        <v>#NAME?</v>
      </c>
      <c r="R218" s="31">
        <f t="shared" si="23"/>
        <v>4200</v>
      </c>
      <c r="S218" s="32">
        <v>7000</v>
      </c>
      <c r="T218" s="32">
        <v>0</v>
      </c>
      <c r="U218" s="32">
        <v>0</v>
      </c>
      <c r="V218" s="32">
        <v>7500</v>
      </c>
      <c r="W218" s="32">
        <v>2500</v>
      </c>
      <c r="X218" s="32">
        <v>4000</v>
      </c>
      <c r="Y218" s="32">
        <v>4000</v>
      </c>
      <c r="Z218" s="32">
        <v>4200</v>
      </c>
      <c r="AA218" s="33">
        <v>3950</v>
      </c>
      <c r="AB218" s="34">
        <v>4000</v>
      </c>
      <c r="AC218" s="35">
        <v>3900</v>
      </c>
      <c r="AD218" s="36"/>
    </row>
    <row r="219" spans="1:30" ht="16.5" customHeight="1" x14ac:dyDescent="0.25">
      <c r="A219" s="19" t="s">
        <v>966</v>
      </c>
      <c r="B219" s="19" t="s">
        <v>967</v>
      </c>
      <c r="C219" s="19" t="s">
        <v>968</v>
      </c>
      <c r="D219" s="19" t="s">
        <v>951</v>
      </c>
      <c r="E219" s="20"/>
      <c r="F219" s="21">
        <v>2</v>
      </c>
      <c r="G219" s="22" t="s">
        <v>969</v>
      </c>
      <c r="H219" s="23">
        <v>2660</v>
      </c>
      <c r="I219" s="24">
        <v>2660</v>
      </c>
      <c r="J219" s="23">
        <v>2660</v>
      </c>
      <c r="K219" s="25">
        <f t="shared" si="18"/>
        <v>0</v>
      </c>
      <c r="L219" s="26">
        <f t="shared" si="19"/>
        <v>0</v>
      </c>
      <c r="M219" s="27">
        <v>0</v>
      </c>
      <c r="N219" s="28">
        <f t="shared" si="20"/>
        <v>2660</v>
      </c>
      <c r="O219" s="29">
        <f t="shared" si="21"/>
        <v>2660</v>
      </c>
      <c r="P219" s="29">
        <f t="shared" si="22"/>
        <v>2700</v>
      </c>
      <c r="Q219" s="30" t="e" cm="1">
        <f t="array" aca="1" ref="Q219" ca="1">spellNumber(P219)</f>
        <v>#NAME?</v>
      </c>
      <c r="R219" s="31">
        <f t="shared" si="23"/>
        <v>2900</v>
      </c>
      <c r="S219" s="32">
        <v>5000</v>
      </c>
      <c r="T219" s="32">
        <v>5320</v>
      </c>
      <c r="U219" s="32">
        <v>2660</v>
      </c>
      <c r="V219" s="32">
        <v>0</v>
      </c>
      <c r="W219" s="32">
        <v>5320</v>
      </c>
      <c r="X219" s="32">
        <v>2660</v>
      </c>
      <c r="Y219" s="32">
        <v>2660</v>
      </c>
      <c r="Z219" s="32">
        <v>2660</v>
      </c>
      <c r="AA219" s="33">
        <v>2660</v>
      </c>
      <c r="AB219" s="34">
        <v>2660</v>
      </c>
      <c r="AC219" s="35">
        <v>660</v>
      </c>
      <c r="AD219" s="36"/>
    </row>
    <row r="220" spans="1:30" ht="16.5" customHeight="1" x14ac:dyDescent="0.25">
      <c r="A220" s="19" t="s">
        <v>970</v>
      </c>
      <c r="B220" s="19" t="s">
        <v>971</v>
      </c>
      <c r="C220" s="19" t="s">
        <v>972</v>
      </c>
      <c r="D220" s="19" t="s">
        <v>973</v>
      </c>
      <c r="E220" s="20" t="s">
        <v>40</v>
      </c>
      <c r="F220" s="21">
        <v>3</v>
      </c>
      <c r="G220" s="22" t="s">
        <v>974</v>
      </c>
      <c r="H220" s="23">
        <v>5000</v>
      </c>
      <c r="I220" s="24">
        <v>5785</v>
      </c>
      <c r="J220" s="23">
        <v>5800</v>
      </c>
      <c r="K220" s="25">
        <f t="shared" si="18"/>
        <v>-15</v>
      </c>
      <c r="L220" s="26">
        <f t="shared" si="19"/>
        <v>-3.0000000000000001E-3</v>
      </c>
      <c r="M220" s="27">
        <v>0</v>
      </c>
      <c r="N220" s="28">
        <f t="shared" si="20"/>
        <v>5785</v>
      </c>
      <c r="O220" s="29">
        <f t="shared" si="21"/>
        <v>5785</v>
      </c>
      <c r="P220" s="29">
        <f t="shared" si="22"/>
        <v>5800</v>
      </c>
      <c r="Q220" s="30" t="e" cm="1">
        <f t="array" aca="1" ref="Q220" ca="1">spellNumber(P220)</f>
        <v>#NAME?</v>
      </c>
      <c r="R220" s="31">
        <f t="shared" si="23"/>
        <v>6000</v>
      </c>
      <c r="S220" s="32">
        <v>5000</v>
      </c>
      <c r="T220" s="32">
        <v>5000</v>
      </c>
      <c r="U220" s="32">
        <v>5000</v>
      </c>
      <c r="V220" s="32">
        <v>5000</v>
      </c>
      <c r="W220" s="32">
        <v>6000</v>
      </c>
      <c r="X220" s="32">
        <v>5000</v>
      </c>
      <c r="Y220" s="32">
        <v>5000</v>
      </c>
      <c r="Z220" s="32">
        <v>5820</v>
      </c>
      <c r="AA220" s="33">
        <v>5795</v>
      </c>
      <c r="AB220" s="34">
        <v>5800</v>
      </c>
      <c r="AC220" s="35">
        <v>5800</v>
      </c>
      <c r="AD220" s="36"/>
    </row>
    <row r="221" spans="1:30" ht="16.5" customHeight="1" x14ac:dyDescent="0.25">
      <c r="A221" s="19" t="s">
        <v>975</v>
      </c>
      <c r="B221" s="19" t="s">
        <v>976</v>
      </c>
      <c r="C221" s="19" t="s">
        <v>977</v>
      </c>
      <c r="D221" s="19" t="s">
        <v>730</v>
      </c>
      <c r="E221" s="20"/>
      <c r="F221" s="21">
        <v>2</v>
      </c>
      <c r="G221" s="22" t="s">
        <v>978</v>
      </c>
      <c r="H221" s="23">
        <v>4000</v>
      </c>
      <c r="I221" s="24">
        <v>7500</v>
      </c>
      <c r="J221" s="23">
        <v>7500</v>
      </c>
      <c r="K221" s="25">
        <f t="shared" si="18"/>
        <v>0</v>
      </c>
      <c r="L221" s="26">
        <f t="shared" si="19"/>
        <v>0</v>
      </c>
      <c r="M221" s="27">
        <v>0</v>
      </c>
      <c r="N221" s="28">
        <f t="shared" si="20"/>
        <v>7500</v>
      </c>
      <c r="O221" s="29">
        <f t="shared" si="21"/>
        <v>7500</v>
      </c>
      <c r="P221" s="29">
        <f t="shared" si="22"/>
        <v>7500</v>
      </c>
      <c r="Q221" s="30" t="e" cm="1">
        <f t="array" aca="1" ref="Q221" ca="1">spellNumber(P221)</f>
        <v>#NAME?</v>
      </c>
      <c r="R221" s="31">
        <f t="shared" si="23"/>
        <v>7700</v>
      </c>
      <c r="S221" s="32">
        <v>8000</v>
      </c>
      <c r="T221" s="32">
        <v>4000</v>
      </c>
      <c r="U221" s="32">
        <v>0</v>
      </c>
      <c r="V221" s="32">
        <v>0</v>
      </c>
      <c r="W221" s="32">
        <v>0</v>
      </c>
      <c r="X221" s="32">
        <v>8000</v>
      </c>
      <c r="Y221" s="32">
        <v>8000</v>
      </c>
      <c r="Z221" s="32">
        <v>8500</v>
      </c>
      <c r="AA221" s="33">
        <v>0</v>
      </c>
      <c r="AB221" s="34">
        <v>0</v>
      </c>
      <c r="AC221" s="35">
        <v>8000</v>
      </c>
      <c r="AD221" s="36"/>
    </row>
    <row r="222" spans="1:30" ht="16.5" customHeight="1" x14ac:dyDescent="0.25">
      <c r="A222" s="19" t="s">
        <v>979</v>
      </c>
      <c r="B222" s="19" t="s">
        <v>980</v>
      </c>
      <c r="C222" s="19" t="s">
        <v>497</v>
      </c>
      <c r="D222" s="19" t="s">
        <v>981</v>
      </c>
      <c r="E222" s="20"/>
      <c r="F222" s="21">
        <v>3</v>
      </c>
      <c r="G222" s="22" t="s">
        <v>982</v>
      </c>
      <c r="H222" s="23">
        <v>3900</v>
      </c>
      <c r="I222" s="24">
        <v>3900</v>
      </c>
      <c r="J222" s="23">
        <v>0</v>
      </c>
      <c r="K222" s="25">
        <f t="shared" si="18"/>
        <v>3900</v>
      </c>
      <c r="L222" s="26">
        <f t="shared" si="19"/>
        <v>1</v>
      </c>
      <c r="M222" s="27">
        <v>0</v>
      </c>
      <c r="N222" s="28">
        <f t="shared" si="20"/>
        <v>3900</v>
      </c>
      <c r="O222" s="29">
        <f t="shared" si="21"/>
        <v>3900</v>
      </c>
      <c r="P222" s="29">
        <f t="shared" si="22"/>
        <v>3900</v>
      </c>
      <c r="Q222" s="30" t="e" cm="1">
        <f t="array" aca="1" ref="Q222" ca="1">spellNumber(P222)</f>
        <v>#NAME?</v>
      </c>
      <c r="R222" s="31">
        <f t="shared" si="23"/>
        <v>4100</v>
      </c>
      <c r="S222" s="32">
        <v>0</v>
      </c>
      <c r="T222" s="32">
        <v>6900</v>
      </c>
      <c r="U222" s="32">
        <v>0</v>
      </c>
      <c r="V222" s="32">
        <v>0</v>
      </c>
      <c r="W222" s="32">
        <v>7000</v>
      </c>
      <c r="X222" s="32">
        <v>7000</v>
      </c>
      <c r="Y222" s="32">
        <v>4817</v>
      </c>
      <c r="Z222" s="32">
        <v>4817</v>
      </c>
      <c r="AA222" s="33">
        <v>7500</v>
      </c>
      <c r="AB222" s="34">
        <v>3966</v>
      </c>
      <c r="AC222" s="35">
        <v>3900</v>
      </c>
      <c r="AD222" s="36"/>
    </row>
    <row r="223" spans="1:30" ht="16.5" customHeight="1" x14ac:dyDescent="0.25">
      <c r="A223" s="19" t="s">
        <v>983</v>
      </c>
      <c r="B223" s="19" t="s">
        <v>984</v>
      </c>
      <c r="C223" s="19" t="s">
        <v>985</v>
      </c>
      <c r="D223" s="19" t="s">
        <v>986</v>
      </c>
      <c r="E223" s="20"/>
      <c r="F223" s="21">
        <v>3</v>
      </c>
      <c r="G223" s="22" t="s">
        <v>987</v>
      </c>
      <c r="H223" s="23">
        <v>5000</v>
      </c>
      <c r="I223" s="24">
        <v>8200</v>
      </c>
      <c r="J223" s="23">
        <v>5000</v>
      </c>
      <c r="K223" s="25">
        <f t="shared" si="18"/>
        <v>3200</v>
      </c>
      <c r="L223" s="26">
        <f t="shared" si="19"/>
        <v>0.64</v>
      </c>
      <c r="M223" s="27">
        <v>0</v>
      </c>
      <c r="N223" s="28">
        <f t="shared" si="20"/>
        <v>8200</v>
      </c>
      <c r="O223" s="29">
        <f t="shared" si="21"/>
        <v>8200</v>
      </c>
      <c r="P223" s="29">
        <f t="shared" si="22"/>
        <v>8200</v>
      </c>
      <c r="Q223" s="30" t="e" cm="1">
        <f t="array" aca="1" ref="Q223" ca="1">spellNumber(P223)</f>
        <v>#NAME?</v>
      </c>
      <c r="R223" s="31">
        <f t="shared" si="23"/>
        <v>8400</v>
      </c>
      <c r="S223" s="32">
        <v>7400</v>
      </c>
      <c r="T223" s="32">
        <v>4600</v>
      </c>
      <c r="U223" s="32">
        <v>0</v>
      </c>
      <c r="V223" s="32">
        <v>4000</v>
      </c>
      <c r="W223" s="32">
        <v>4000</v>
      </c>
      <c r="X223" s="32">
        <v>5000</v>
      </c>
      <c r="Y223" s="32">
        <v>5000</v>
      </c>
      <c r="Z223" s="32">
        <v>5800</v>
      </c>
      <c r="AA223" s="33">
        <v>5000</v>
      </c>
      <c r="AB223" s="34">
        <v>5000</v>
      </c>
      <c r="AC223" s="35">
        <v>5000</v>
      </c>
      <c r="AD223" s="36"/>
    </row>
    <row r="224" spans="1:30" ht="16.5" customHeight="1" x14ac:dyDescent="0.25">
      <c r="A224" s="19" t="s">
        <v>988</v>
      </c>
      <c r="B224" s="19" t="s">
        <v>989</v>
      </c>
      <c r="C224" s="19" t="s">
        <v>631</v>
      </c>
      <c r="D224" s="19" t="s">
        <v>794</v>
      </c>
      <c r="E224" s="20"/>
      <c r="F224" s="21">
        <v>2</v>
      </c>
      <c r="G224" s="22" t="s">
        <v>990</v>
      </c>
      <c r="H224" s="23">
        <v>4000</v>
      </c>
      <c r="I224" s="24">
        <v>5000</v>
      </c>
      <c r="J224" s="23">
        <v>5000</v>
      </c>
      <c r="K224" s="25">
        <f t="shared" si="18"/>
        <v>0</v>
      </c>
      <c r="L224" s="26">
        <f t="shared" si="19"/>
        <v>0</v>
      </c>
      <c r="M224" s="27">
        <v>0</v>
      </c>
      <c r="N224" s="28">
        <f t="shared" si="20"/>
        <v>5000</v>
      </c>
      <c r="O224" s="29">
        <f t="shared" si="21"/>
        <v>5000</v>
      </c>
      <c r="P224" s="29">
        <f t="shared" si="22"/>
        <v>5000</v>
      </c>
      <c r="Q224" s="30" t="e" cm="1">
        <f t="array" aca="1" ref="Q224" ca="1">spellNumber(P224)</f>
        <v>#NAME?</v>
      </c>
      <c r="R224" s="31">
        <f t="shared" si="23"/>
        <v>5200</v>
      </c>
      <c r="S224" s="32">
        <v>2000</v>
      </c>
      <c r="T224" s="32">
        <v>5000</v>
      </c>
      <c r="U224" s="32">
        <v>4000</v>
      </c>
      <c r="V224" s="32">
        <v>5000</v>
      </c>
      <c r="W224" s="32">
        <v>5000</v>
      </c>
      <c r="X224" s="32">
        <v>5000</v>
      </c>
      <c r="Y224" s="32">
        <v>4000</v>
      </c>
      <c r="Z224" s="32">
        <v>4000</v>
      </c>
      <c r="AA224" s="33">
        <v>5000</v>
      </c>
      <c r="AB224" s="34">
        <v>5000</v>
      </c>
      <c r="AC224" s="35">
        <v>5000</v>
      </c>
      <c r="AD224" s="36"/>
    </row>
    <row r="225" spans="1:30" ht="16.5" customHeight="1" x14ac:dyDescent="0.25">
      <c r="A225" s="19" t="s">
        <v>991</v>
      </c>
      <c r="B225" s="19" t="s">
        <v>992</v>
      </c>
      <c r="C225" s="19" t="s">
        <v>985</v>
      </c>
      <c r="D225" s="19" t="s">
        <v>730</v>
      </c>
      <c r="E225" s="20"/>
      <c r="F225" s="21">
        <v>2</v>
      </c>
      <c r="G225" s="22" t="s">
        <v>993</v>
      </c>
      <c r="H225" s="23">
        <v>3500</v>
      </c>
      <c r="I225" s="24">
        <v>13000</v>
      </c>
      <c r="J225" s="23">
        <v>8000</v>
      </c>
      <c r="K225" s="25">
        <f t="shared" si="18"/>
        <v>5000</v>
      </c>
      <c r="L225" s="26">
        <f t="shared" si="19"/>
        <v>1.4285714285714286</v>
      </c>
      <c r="M225" s="27">
        <v>0</v>
      </c>
      <c r="N225" s="28">
        <f t="shared" si="20"/>
        <v>13000</v>
      </c>
      <c r="O225" s="29">
        <f t="shared" si="21"/>
        <v>13000</v>
      </c>
      <c r="P225" s="29">
        <f t="shared" si="22"/>
        <v>13000</v>
      </c>
      <c r="Q225" s="30" t="e" cm="1">
        <f t="array" aca="1" ref="Q225" ca="1">spellNumber(P225)</f>
        <v>#NAME?</v>
      </c>
      <c r="R225" s="31">
        <f t="shared" si="23"/>
        <v>13200</v>
      </c>
      <c r="S225" s="32">
        <v>3500</v>
      </c>
      <c r="T225" s="32">
        <v>3500</v>
      </c>
      <c r="U225" s="32">
        <v>0</v>
      </c>
      <c r="V225" s="32">
        <v>0</v>
      </c>
      <c r="W225" s="32">
        <v>0</v>
      </c>
      <c r="X225" s="32">
        <v>5000</v>
      </c>
      <c r="Y225" s="32">
        <v>5000</v>
      </c>
      <c r="Z225" s="32">
        <v>5000</v>
      </c>
      <c r="AA225" s="33">
        <v>0</v>
      </c>
      <c r="AB225" s="34">
        <v>0</v>
      </c>
      <c r="AC225" s="35">
        <v>7000</v>
      </c>
      <c r="AD225" s="36"/>
    </row>
    <row r="226" spans="1:30" ht="16.5" customHeight="1" x14ac:dyDescent="0.25">
      <c r="A226" s="19" t="s">
        <v>994</v>
      </c>
      <c r="B226" s="19" t="s">
        <v>646</v>
      </c>
      <c r="C226" s="19" t="s">
        <v>691</v>
      </c>
      <c r="D226" s="19" t="s">
        <v>908</v>
      </c>
      <c r="E226" s="20"/>
      <c r="F226" s="21">
        <v>1</v>
      </c>
      <c r="G226" s="22" t="s">
        <v>995</v>
      </c>
      <c r="H226" s="23">
        <v>0</v>
      </c>
      <c r="I226" s="24">
        <v>0</v>
      </c>
      <c r="J226" s="23">
        <v>0</v>
      </c>
      <c r="K226" s="25">
        <f t="shared" si="18"/>
        <v>0</v>
      </c>
      <c r="L226" s="26" t="e">
        <f t="shared" si="19"/>
        <v>#DIV/0!</v>
      </c>
      <c r="M226" s="27">
        <v>0</v>
      </c>
      <c r="N226" s="28">
        <f t="shared" si="20"/>
        <v>0</v>
      </c>
      <c r="O226" s="29">
        <f t="shared" si="21"/>
        <v>0</v>
      </c>
      <c r="P226" s="29">
        <f t="shared" si="22"/>
        <v>0</v>
      </c>
      <c r="Q226" s="30" t="e" cm="1">
        <f t="array" aca="1" ref="Q226" ca="1">spellNumber(P226)</f>
        <v>#NAME?</v>
      </c>
      <c r="R226" s="31">
        <f t="shared" si="23"/>
        <v>200</v>
      </c>
      <c r="S226" s="32">
        <v>2500</v>
      </c>
      <c r="T226" s="32">
        <v>0</v>
      </c>
      <c r="U226" s="32">
        <v>3000</v>
      </c>
      <c r="V226" s="32">
        <v>3000</v>
      </c>
      <c r="W226" s="32">
        <v>0</v>
      </c>
      <c r="X226" s="32">
        <v>2500</v>
      </c>
      <c r="Y226" s="32">
        <v>5800</v>
      </c>
      <c r="Z226" s="32">
        <v>0</v>
      </c>
      <c r="AA226" s="33">
        <v>0</v>
      </c>
      <c r="AB226" s="34">
        <v>0</v>
      </c>
      <c r="AC226" s="35">
        <v>0</v>
      </c>
      <c r="AD226" s="36"/>
    </row>
    <row r="227" spans="1:30" ht="16.5" customHeight="1" x14ac:dyDescent="0.25">
      <c r="A227" s="19" t="s">
        <v>996</v>
      </c>
      <c r="B227" s="19" t="s">
        <v>997</v>
      </c>
      <c r="C227" s="19" t="s">
        <v>998</v>
      </c>
      <c r="D227" s="19" t="s">
        <v>730</v>
      </c>
      <c r="E227" s="20"/>
      <c r="F227" s="21">
        <v>2</v>
      </c>
      <c r="G227" s="22" t="s">
        <v>999</v>
      </c>
      <c r="H227" s="23">
        <v>3600</v>
      </c>
      <c r="I227" s="24">
        <v>4400</v>
      </c>
      <c r="J227" s="23">
        <v>4400</v>
      </c>
      <c r="K227" s="25">
        <f t="shared" si="18"/>
        <v>0</v>
      </c>
      <c r="L227" s="26">
        <f t="shared" si="19"/>
        <v>0</v>
      </c>
      <c r="M227" s="27">
        <v>0</v>
      </c>
      <c r="N227" s="28">
        <f t="shared" si="20"/>
        <v>4400</v>
      </c>
      <c r="O227" s="29">
        <f t="shared" si="21"/>
        <v>4400</v>
      </c>
      <c r="P227" s="29">
        <f t="shared" si="22"/>
        <v>4400</v>
      </c>
      <c r="Q227" s="30" t="e" cm="1">
        <f t="array" aca="1" ref="Q227" ca="1">spellNumber(P227)</f>
        <v>#NAME?</v>
      </c>
      <c r="R227" s="31">
        <f t="shared" si="23"/>
        <v>4600</v>
      </c>
      <c r="S227" s="32">
        <v>7600</v>
      </c>
      <c r="T227" s="32">
        <v>3600</v>
      </c>
      <c r="U227" s="32">
        <v>3600</v>
      </c>
      <c r="V227" s="32">
        <v>0</v>
      </c>
      <c r="W227" s="32">
        <v>0</v>
      </c>
      <c r="X227" s="32">
        <v>10000</v>
      </c>
      <c r="Y227" s="32">
        <v>3600</v>
      </c>
      <c r="Z227" s="32">
        <v>3600</v>
      </c>
      <c r="AA227" s="33">
        <v>3600</v>
      </c>
      <c r="AB227" s="34">
        <v>0</v>
      </c>
      <c r="AC227" s="35">
        <v>3600</v>
      </c>
      <c r="AD227" s="36"/>
    </row>
    <row r="228" spans="1:30" ht="16.5" customHeight="1" x14ac:dyDescent="0.25">
      <c r="A228" s="19" t="s">
        <v>1000</v>
      </c>
      <c r="B228" s="19" t="s">
        <v>1001</v>
      </c>
      <c r="C228" s="19" t="s">
        <v>1002</v>
      </c>
      <c r="D228" s="19" t="s">
        <v>1003</v>
      </c>
      <c r="E228" s="20"/>
      <c r="F228" s="21">
        <v>2</v>
      </c>
      <c r="G228" s="47" t="s">
        <v>1004</v>
      </c>
      <c r="H228" s="23">
        <v>3800</v>
      </c>
      <c r="I228" s="24">
        <v>3800</v>
      </c>
      <c r="J228" s="23">
        <v>3800</v>
      </c>
      <c r="K228" s="25">
        <f t="shared" si="18"/>
        <v>0</v>
      </c>
      <c r="L228" s="26">
        <f t="shared" si="19"/>
        <v>0</v>
      </c>
      <c r="M228" s="27">
        <v>0</v>
      </c>
      <c r="N228" s="28">
        <f t="shared" si="20"/>
        <v>3800</v>
      </c>
      <c r="O228" s="29">
        <f t="shared" si="21"/>
        <v>3800</v>
      </c>
      <c r="P228" s="29">
        <f t="shared" si="22"/>
        <v>3800</v>
      </c>
      <c r="Q228" s="30" t="e" cm="1">
        <f t="array" aca="1" ref="Q228" ca="1">spellNumber(P228)</f>
        <v>#NAME?</v>
      </c>
      <c r="R228" s="31">
        <f t="shared" si="23"/>
        <v>4000</v>
      </c>
      <c r="S228" s="32">
        <v>7800</v>
      </c>
      <c r="T228" s="32">
        <v>0</v>
      </c>
      <c r="U228" s="32">
        <v>7600</v>
      </c>
      <c r="V228" s="32">
        <v>0</v>
      </c>
      <c r="W228" s="32">
        <v>0</v>
      </c>
      <c r="X228" s="32">
        <v>11400</v>
      </c>
      <c r="Y228" s="32">
        <v>3800</v>
      </c>
      <c r="Z228" s="32">
        <v>3800</v>
      </c>
      <c r="AA228" s="33">
        <v>3800</v>
      </c>
      <c r="AB228" s="34">
        <v>3800</v>
      </c>
      <c r="AC228" s="35">
        <v>3800</v>
      </c>
      <c r="AD228" s="36"/>
    </row>
    <row r="229" spans="1:30" ht="16.5" customHeight="1" x14ac:dyDescent="0.25">
      <c r="A229" s="19" t="s">
        <v>1005</v>
      </c>
      <c r="B229" s="19" t="s">
        <v>1006</v>
      </c>
      <c r="C229" s="19" t="s">
        <v>1007</v>
      </c>
      <c r="D229" s="19" t="s">
        <v>1008</v>
      </c>
      <c r="E229" s="20"/>
      <c r="F229" s="21">
        <v>3</v>
      </c>
      <c r="G229" s="22" t="s">
        <v>1009</v>
      </c>
      <c r="H229" s="23">
        <v>6000</v>
      </c>
      <c r="I229" s="24">
        <v>6000</v>
      </c>
      <c r="J229" s="23">
        <v>6000</v>
      </c>
      <c r="K229" s="25">
        <f t="shared" si="18"/>
        <v>0</v>
      </c>
      <c r="L229" s="26">
        <f t="shared" si="19"/>
        <v>0</v>
      </c>
      <c r="M229" s="27">
        <v>0</v>
      </c>
      <c r="N229" s="28">
        <f t="shared" si="20"/>
        <v>6000</v>
      </c>
      <c r="O229" s="29">
        <f t="shared" si="21"/>
        <v>6000</v>
      </c>
      <c r="P229" s="29">
        <f t="shared" si="22"/>
        <v>6000</v>
      </c>
      <c r="Q229" s="30" t="e" cm="1">
        <f t="array" aca="1" ref="Q229" ca="1">spellNumber(P229)</f>
        <v>#NAME?</v>
      </c>
      <c r="R229" s="31">
        <f t="shared" si="23"/>
        <v>6200</v>
      </c>
      <c r="S229" s="32">
        <v>12000</v>
      </c>
      <c r="T229" s="32">
        <v>6000</v>
      </c>
      <c r="U229" s="32">
        <v>6000</v>
      </c>
      <c r="V229" s="32">
        <v>6000</v>
      </c>
      <c r="W229" s="32">
        <v>0</v>
      </c>
      <c r="X229" s="32">
        <v>12000</v>
      </c>
      <c r="Y229" s="32">
        <v>6000</v>
      </c>
      <c r="Z229" s="32">
        <v>6000</v>
      </c>
      <c r="AA229" s="33">
        <v>6000</v>
      </c>
      <c r="AB229" s="34">
        <v>6000</v>
      </c>
      <c r="AC229" s="35">
        <v>6000</v>
      </c>
      <c r="AD229" s="36"/>
    </row>
    <row r="230" spans="1:30" ht="16.5" customHeight="1" x14ac:dyDescent="0.25">
      <c r="A230" s="19" t="s">
        <v>1010</v>
      </c>
      <c r="B230" s="19" t="s">
        <v>1011</v>
      </c>
      <c r="C230" s="19" t="s">
        <v>1012</v>
      </c>
      <c r="D230" s="19" t="s">
        <v>794</v>
      </c>
      <c r="E230" s="20"/>
      <c r="F230" s="21">
        <v>2</v>
      </c>
      <c r="G230" s="22" t="s">
        <v>1013</v>
      </c>
      <c r="H230" s="23">
        <v>3600</v>
      </c>
      <c r="I230" s="24">
        <v>7200</v>
      </c>
      <c r="J230" s="23">
        <v>0</v>
      </c>
      <c r="K230" s="25">
        <f t="shared" si="18"/>
        <v>7200</v>
      </c>
      <c r="L230" s="26">
        <f t="shared" si="19"/>
        <v>2</v>
      </c>
      <c r="M230" s="27">
        <v>0</v>
      </c>
      <c r="N230" s="28">
        <f t="shared" si="20"/>
        <v>7200</v>
      </c>
      <c r="O230" s="29">
        <f t="shared" si="21"/>
        <v>7200</v>
      </c>
      <c r="P230" s="29">
        <f t="shared" si="22"/>
        <v>7200</v>
      </c>
      <c r="Q230" s="30" t="e" cm="1">
        <f t="array" aca="1" ref="Q230" ca="1">spellNumber(P230)</f>
        <v>#NAME?</v>
      </c>
      <c r="R230" s="31">
        <f t="shared" si="23"/>
        <v>7400</v>
      </c>
      <c r="S230" s="32">
        <v>0</v>
      </c>
      <c r="T230" s="32">
        <v>0</v>
      </c>
      <c r="U230" s="32">
        <v>9700</v>
      </c>
      <c r="V230" s="32">
        <v>3600</v>
      </c>
      <c r="W230" s="32">
        <v>3600</v>
      </c>
      <c r="X230" s="32">
        <v>3600</v>
      </c>
      <c r="Y230" s="32">
        <v>3600</v>
      </c>
      <c r="Z230" s="32">
        <v>3600</v>
      </c>
      <c r="AA230" s="33">
        <v>3600</v>
      </c>
      <c r="AB230" s="34">
        <v>0</v>
      </c>
      <c r="AC230" s="35">
        <v>3600</v>
      </c>
      <c r="AD230" s="36"/>
    </row>
    <row r="231" spans="1:30" ht="16.5" customHeight="1" x14ac:dyDescent="0.25">
      <c r="A231" s="19" t="s">
        <v>1014</v>
      </c>
      <c r="B231" s="19" t="s">
        <v>1015</v>
      </c>
      <c r="C231" s="19" t="s">
        <v>1016</v>
      </c>
      <c r="D231" s="19" t="s">
        <v>1017</v>
      </c>
      <c r="E231" s="20"/>
      <c r="F231" s="21">
        <v>1</v>
      </c>
      <c r="G231" s="22" t="s">
        <v>295</v>
      </c>
      <c r="H231" s="23">
        <v>2100</v>
      </c>
      <c r="I231" s="24">
        <v>2100</v>
      </c>
      <c r="J231" s="23">
        <v>0</v>
      </c>
      <c r="K231" s="25">
        <f t="shared" si="18"/>
        <v>2100</v>
      </c>
      <c r="L231" s="26">
        <f t="shared" si="19"/>
        <v>1</v>
      </c>
      <c r="M231" s="27">
        <v>0</v>
      </c>
      <c r="N231" s="28">
        <f t="shared" si="20"/>
        <v>2100</v>
      </c>
      <c r="O231" s="29">
        <f t="shared" si="21"/>
        <v>2100</v>
      </c>
      <c r="P231" s="29">
        <f t="shared" si="22"/>
        <v>2100</v>
      </c>
      <c r="Q231" s="30" t="e" cm="1">
        <f t="array" aca="1" ref="Q231" ca="1">spellNumber(P231)</f>
        <v>#NAME?</v>
      </c>
      <c r="R231" s="31">
        <f t="shared" si="23"/>
        <v>2300</v>
      </c>
      <c r="S231" s="32">
        <v>0</v>
      </c>
      <c r="T231" s="32">
        <v>11600</v>
      </c>
      <c r="U231" s="32">
        <v>0</v>
      </c>
      <c r="V231" s="32">
        <v>0</v>
      </c>
      <c r="W231" s="32">
        <v>0</v>
      </c>
      <c r="X231" s="32">
        <v>6000</v>
      </c>
      <c r="Y231" s="32">
        <v>0</v>
      </c>
      <c r="Z231" s="32">
        <v>0</v>
      </c>
      <c r="AA231" s="33">
        <v>0</v>
      </c>
      <c r="AB231" s="34">
        <v>0</v>
      </c>
      <c r="AC231" s="35">
        <v>12500</v>
      </c>
      <c r="AD231" s="36"/>
    </row>
    <row r="232" spans="1:30" ht="16.5" customHeight="1" x14ac:dyDescent="0.25">
      <c r="A232" s="19" t="s">
        <v>1018</v>
      </c>
      <c r="B232" s="19" t="s">
        <v>1019</v>
      </c>
      <c r="C232" s="19" t="s">
        <v>661</v>
      </c>
      <c r="D232" s="19" t="s">
        <v>730</v>
      </c>
      <c r="E232" s="20"/>
      <c r="F232" s="21">
        <v>2</v>
      </c>
      <c r="G232" s="22" t="s">
        <v>1020</v>
      </c>
      <c r="H232" s="23">
        <v>3600</v>
      </c>
      <c r="I232" s="24">
        <v>3600</v>
      </c>
      <c r="J232" s="23">
        <v>3600</v>
      </c>
      <c r="K232" s="25">
        <f t="shared" si="18"/>
        <v>0</v>
      </c>
      <c r="L232" s="26">
        <f t="shared" si="19"/>
        <v>0</v>
      </c>
      <c r="M232" s="27">
        <v>0</v>
      </c>
      <c r="N232" s="28">
        <f t="shared" si="20"/>
        <v>3600</v>
      </c>
      <c r="O232" s="29">
        <f t="shared" si="21"/>
        <v>3600</v>
      </c>
      <c r="P232" s="29">
        <f t="shared" si="22"/>
        <v>3600</v>
      </c>
      <c r="Q232" s="30" t="e" cm="1">
        <f t="array" aca="1" ref="Q232" ca="1">spellNumber(P232)</f>
        <v>#NAME?</v>
      </c>
      <c r="R232" s="31">
        <f t="shared" si="23"/>
        <v>3800</v>
      </c>
      <c r="S232" s="32">
        <v>7600</v>
      </c>
      <c r="T232" s="32">
        <v>3600</v>
      </c>
      <c r="U232" s="32">
        <v>3600</v>
      </c>
      <c r="V232" s="32">
        <v>3600</v>
      </c>
      <c r="W232" s="32">
        <v>3600</v>
      </c>
      <c r="X232" s="32">
        <v>3600</v>
      </c>
      <c r="Y232" s="32">
        <v>3600</v>
      </c>
      <c r="Z232" s="32">
        <v>3600</v>
      </c>
      <c r="AA232" s="33">
        <v>3600</v>
      </c>
      <c r="AB232" s="34">
        <v>0</v>
      </c>
      <c r="AC232" s="35">
        <v>7200</v>
      </c>
      <c r="AD232" s="36"/>
    </row>
    <row r="233" spans="1:30" ht="16.5" customHeight="1" x14ac:dyDescent="0.25">
      <c r="A233" s="19" t="s">
        <v>1021</v>
      </c>
      <c r="B233" s="19" t="s">
        <v>1022</v>
      </c>
      <c r="C233" s="19" t="s">
        <v>1023</v>
      </c>
      <c r="D233" s="19" t="s">
        <v>1017</v>
      </c>
      <c r="E233" s="20"/>
      <c r="F233" s="21">
        <v>1</v>
      </c>
      <c r="G233" s="22" t="s">
        <v>1024</v>
      </c>
      <c r="H233" s="23">
        <v>2000</v>
      </c>
      <c r="I233" s="24">
        <v>2000</v>
      </c>
      <c r="J233" s="23">
        <v>0</v>
      </c>
      <c r="K233" s="25">
        <f t="shared" si="18"/>
        <v>2000</v>
      </c>
      <c r="L233" s="26">
        <f t="shared" si="19"/>
        <v>1</v>
      </c>
      <c r="M233" s="27">
        <v>0</v>
      </c>
      <c r="N233" s="28">
        <f t="shared" si="20"/>
        <v>2000</v>
      </c>
      <c r="O233" s="29">
        <f t="shared" si="21"/>
        <v>2000</v>
      </c>
      <c r="P233" s="29">
        <f t="shared" si="22"/>
        <v>2000</v>
      </c>
      <c r="Q233" s="30" t="e" cm="1">
        <f t="array" aca="1" ref="Q233" ca="1">spellNumber(P233)</f>
        <v>#NAME?</v>
      </c>
      <c r="R233" s="31">
        <f t="shared" si="23"/>
        <v>2200</v>
      </c>
      <c r="S233" s="32">
        <v>4000</v>
      </c>
      <c r="T233" s="32">
        <v>2000</v>
      </c>
      <c r="U233" s="32">
        <v>2000</v>
      </c>
      <c r="V233" s="32">
        <v>0</v>
      </c>
      <c r="W233" s="32">
        <v>4000</v>
      </c>
      <c r="X233" s="32">
        <v>2000</v>
      </c>
      <c r="Y233" s="32">
        <v>2000</v>
      </c>
      <c r="Z233" s="32">
        <v>2000</v>
      </c>
      <c r="AA233" s="33">
        <v>2000</v>
      </c>
      <c r="AB233" s="34">
        <v>2000</v>
      </c>
      <c r="AC233" s="35">
        <v>2000</v>
      </c>
      <c r="AD233" s="36"/>
    </row>
    <row r="234" spans="1:30" ht="16.5" customHeight="1" x14ac:dyDescent="0.25">
      <c r="A234" s="19" t="s">
        <v>1025</v>
      </c>
      <c r="B234" s="19" t="s">
        <v>1026</v>
      </c>
      <c r="C234" s="19" t="s">
        <v>935</v>
      </c>
      <c r="D234" s="19" t="s">
        <v>93</v>
      </c>
      <c r="E234" s="20" t="s">
        <v>34</v>
      </c>
      <c r="F234" s="21">
        <v>1</v>
      </c>
      <c r="G234" s="22" t="s">
        <v>1027</v>
      </c>
      <c r="H234" s="23">
        <v>2500</v>
      </c>
      <c r="I234" s="24">
        <v>2500</v>
      </c>
      <c r="J234" s="23">
        <v>2500</v>
      </c>
      <c r="K234" s="25">
        <f t="shared" si="18"/>
        <v>0</v>
      </c>
      <c r="L234" s="26">
        <f t="shared" si="19"/>
        <v>0</v>
      </c>
      <c r="M234" s="27">
        <v>0</v>
      </c>
      <c r="N234" s="28">
        <f t="shared" si="20"/>
        <v>2500</v>
      </c>
      <c r="O234" s="29">
        <f t="shared" si="21"/>
        <v>2500</v>
      </c>
      <c r="P234" s="29">
        <f t="shared" si="22"/>
        <v>2500</v>
      </c>
      <c r="Q234" s="30" t="e" cm="1">
        <f t="array" aca="1" ref="Q234" ca="1">spellNumber(P234)</f>
        <v>#NAME?</v>
      </c>
      <c r="R234" s="31">
        <f t="shared" si="23"/>
        <v>2700</v>
      </c>
      <c r="S234" s="32">
        <v>5000</v>
      </c>
      <c r="T234" s="32">
        <v>2000</v>
      </c>
      <c r="U234" s="32">
        <v>2500</v>
      </c>
      <c r="V234" s="32">
        <v>2500</v>
      </c>
      <c r="W234" s="32">
        <v>2500</v>
      </c>
      <c r="X234" s="32">
        <v>2500</v>
      </c>
      <c r="Y234" s="32">
        <v>2500</v>
      </c>
      <c r="Z234" s="32">
        <v>2500</v>
      </c>
      <c r="AA234" s="33">
        <v>2500</v>
      </c>
      <c r="AB234" s="34">
        <v>0</v>
      </c>
      <c r="AC234" s="35">
        <v>5000</v>
      </c>
      <c r="AD234" s="36"/>
    </row>
    <row r="235" spans="1:30" ht="16.5" customHeight="1" x14ac:dyDescent="0.25">
      <c r="A235" s="19" t="s">
        <v>1028</v>
      </c>
      <c r="B235" s="19" t="s">
        <v>1029</v>
      </c>
      <c r="C235" s="19" t="s">
        <v>1030</v>
      </c>
      <c r="D235" s="19" t="s">
        <v>1031</v>
      </c>
      <c r="E235" s="20"/>
      <c r="F235" s="21">
        <v>2</v>
      </c>
      <c r="G235" s="22" t="s">
        <v>1032</v>
      </c>
      <c r="H235" s="23">
        <v>3500</v>
      </c>
      <c r="I235" s="24">
        <v>6000</v>
      </c>
      <c r="J235" s="23">
        <v>0</v>
      </c>
      <c r="K235" s="25">
        <f t="shared" si="18"/>
        <v>6000</v>
      </c>
      <c r="L235" s="26">
        <f t="shared" si="19"/>
        <v>1.7142857142857142</v>
      </c>
      <c r="M235" s="27">
        <v>0</v>
      </c>
      <c r="N235" s="28">
        <f t="shared" si="20"/>
        <v>6000</v>
      </c>
      <c r="O235" s="29">
        <f t="shared" si="21"/>
        <v>6000</v>
      </c>
      <c r="P235" s="29">
        <f t="shared" si="22"/>
        <v>6000</v>
      </c>
      <c r="Q235" s="30" t="e" cm="1">
        <f t="array" aca="1" ref="Q235" ca="1">spellNumber(P235)</f>
        <v>#NAME?</v>
      </c>
      <c r="R235" s="31">
        <f t="shared" si="23"/>
        <v>6200</v>
      </c>
      <c r="S235" s="32">
        <v>6500</v>
      </c>
      <c r="T235" s="32">
        <v>4500</v>
      </c>
      <c r="U235" s="32">
        <v>0</v>
      </c>
      <c r="V235" s="32">
        <v>4000</v>
      </c>
      <c r="W235" s="32">
        <v>4000</v>
      </c>
      <c r="X235" s="32">
        <v>3500</v>
      </c>
      <c r="Y235" s="32">
        <v>3500</v>
      </c>
      <c r="Z235" s="32">
        <v>0</v>
      </c>
      <c r="AA235" s="33">
        <v>7000</v>
      </c>
      <c r="AB235" s="34">
        <v>3500</v>
      </c>
      <c r="AC235" s="35">
        <v>3500</v>
      </c>
      <c r="AD235" s="36"/>
    </row>
    <row r="236" spans="1:30" ht="16.5" customHeight="1" x14ac:dyDescent="0.25">
      <c r="A236" s="19" t="s">
        <v>1033</v>
      </c>
      <c r="B236" s="19" t="s">
        <v>1034</v>
      </c>
      <c r="C236" s="19" t="s">
        <v>1035</v>
      </c>
      <c r="D236" s="19" t="s">
        <v>1008</v>
      </c>
      <c r="E236" s="20"/>
      <c r="F236" s="21">
        <v>3</v>
      </c>
      <c r="G236" s="22" t="s">
        <v>1036</v>
      </c>
      <c r="H236" s="23">
        <v>5600</v>
      </c>
      <c r="I236" s="24">
        <v>21100</v>
      </c>
      <c r="J236" s="23">
        <v>0</v>
      </c>
      <c r="K236" s="25">
        <f t="shared" si="18"/>
        <v>21100</v>
      </c>
      <c r="L236" s="26">
        <f t="shared" si="19"/>
        <v>3.7678571428571428</v>
      </c>
      <c r="M236" s="27">
        <v>0</v>
      </c>
      <c r="N236" s="28">
        <f t="shared" si="20"/>
        <v>21100</v>
      </c>
      <c r="O236" s="29">
        <f t="shared" si="21"/>
        <v>21100</v>
      </c>
      <c r="P236" s="29">
        <f t="shared" si="22"/>
        <v>21100</v>
      </c>
      <c r="Q236" s="30" t="e" cm="1">
        <f t="array" aca="1" ref="Q236" ca="1">spellNumber(P236)</f>
        <v>#NAME?</v>
      </c>
      <c r="R236" s="31">
        <f t="shared" si="23"/>
        <v>21300</v>
      </c>
      <c r="S236" s="32">
        <v>16900</v>
      </c>
      <c r="T236" s="32">
        <v>0</v>
      </c>
      <c r="U236" s="32">
        <v>5500</v>
      </c>
      <c r="V236" s="32">
        <v>0</v>
      </c>
      <c r="W236" s="32">
        <v>0</v>
      </c>
      <c r="X236" s="32">
        <v>10000</v>
      </c>
      <c r="Y236" s="32">
        <v>10000</v>
      </c>
      <c r="Z236" s="32">
        <v>0</v>
      </c>
      <c r="AA236" s="33">
        <v>0</v>
      </c>
      <c r="AB236" s="34">
        <v>0</v>
      </c>
      <c r="AC236" s="35">
        <v>15000</v>
      </c>
      <c r="AD236" s="36"/>
    </row>
    <row r="237" spans="1:30" ht="16.5" customHeight="1" x14ac:dyDescent="0.25">
      <c r="A237" s="19" t="s">
        <v>1037</v>
      </c>
      <c r="B237" s="19" t="s">
        <v>333</v>
      </c>
      <c r="C237" s="19" t="s">
        <v>1038</v>
      </c>
      <c r="D237" s="19" t="s">
        <v>54</v>
      </c>
      <c r="E237" s="20" t="s">
        <v>40</v>
      </c>
      <c r="F237" s="21">
        <v>1</v>
      </c>
      <c r="G237" s="22" t="s">
        <v>1039</v>
      </c>
      <c r="H237" s="23">
        <v>2000</v>
      </c>
      <c r="I237" s="24">
        <v>2200</v>
      </c>
      <c r="J237" s="23">
        <v>2200</v>
      </c>
      <c r="K237" s="25">
        <f t="shared" si="18"/>
        <v>0</v>
      </c>
      <c r="L237" s="26">
        <f t="shared" si="19"/>
        <v>0</v>
      </c>
      <c r="M237" s="27">
        <v>0</v>
      </c>
      <c r="N237" s="28">
        <f t="shared" si="20"/>
        <v>2200</v>
      </c>
      <c r="O237" s="29">
        <f t="shared" si="21"/>
        <v>2200</v>
      </c>
      <c r="P237" s="29">
        <f t="shared" si="22"/>
        <v>2200</v>
      </c>
      <c r="Q237" s="30" t="e" cm="1">
        <f t="array" aca="1" ref="Q237" ca="1">spellNumber(P237)</f>
        <v>#NAME?</v>
      </c>
      <c r="R237" s="31">
        <f t="shared" si="23"/>
        <v>2400</v>
      </c>
      <c r="S237" s="32">
        <v>0</v>
      </c>
      <c r="T237" s="32">
        <v>2000</v>
      </c>
      <c r="U237" s="32">
        <v>4000</v>
      </c>
      <c r="V237" s="32">
        <v>0</v>
      </c>
      <c r="W237" s="32">
        <v>4000</v>
      </c>
      <c r="X237" s="32">
        <v>2000</v>
      </c>
      <c r="Y237" s="32">
        <v>3000</v>
      </c>
      <c r="Z237" s="32">
        <v>2200</v>
      </c>
      <c r="AA237" s="33">
        <v>2200</v>
      </c>
      <c r="AB237" s="34">
        <v>2200</v>
      </c>
      <c r="AC237" s="35">
        <v>2200</v>
      </c>
      <c r="AD237" s="36"/>
    </row>
    <row r="238" spans="1:30" ht="16.5" customHeight="1" x14ac:dyDescent="0.25">
      <c r="A238" s="19" t="s">
        <v>1040</v>
      </c>
      <c r="B238" s="19" t="s">
        <v>1041</v>
      </c>
      <c r="C238" s="19" t="s">
        <v>1042</v>
      </c>
      <c r="D238" s="19" t="s">
        <v>1031</v>
      </c>
      <c r="E238" s="20"/>
      <c r="F238" s="21">
        <v>2</v>
      </c>
      <c r="G238" s="22" t="s">
        <v>1043</v>
      </c>
      <c r="H238" s="23">
        <v>3800</v>
      </c>
      <c r="I238" s="24">
        <v>3800</v>
      </c>
      <c r="J238" s="23">
        <v>3800</v>
      </c>
      <c r="K238" s="25">
        <f t="shared" si="18"/>
        <v>0</v>
      </c>
      <c r="L238" s="26">
        <f t="shared" si="19"/>
        <v>0</v>
      </c>
      <c r="M238" s="27">
        <v>0</v>
      </c>
      <c r="N238" s="28">
        <f t="shared" si="20"/>
        <v>3800</v>
      </c>
      <c r="O238" s="29">
        <f t="shared" si="21"/>
        <v>3800</v>
      </c>
      <c r="P238" s="29">
        <f t="shared" si="22"/>
        <v>3800</v>
      </c>
      <c r="Q238" s="30" t="e" cm="1">
        <f t="array" aca="1" ref="Q238" ca="1">spellNumber(P238)</f>
        <v>#NAME?</v>
      </c>
      <c r="R238" s="31">
        <f t="shared" si="23"/>
        <v>4000</v>
      </c>
      <c r="S238" s="32">
        <v>7300</v>
      </c>
      <c r="T238" s="32">
        <v>3800</v>
      </c>
      <c r="U238" s="32">
        <v>3800</v>
      </c>
      <c r="V238" s="32">
        <v>3800</v>
      </c>
      <c r="W238" s="32">
        <v>3800</v>
      </c>
      <c r="X238" s="32">
        <v>3800</v>
      </c>
      <c r="Y238" s="32">
        <v>3800</v>
      </c>
      <c r="Z238" s="32">
        <v>3800</v>
      </c>
      <c r="AA238" s="33">
        <v>3800</v>
      </c>
      <c r="AB238" s="34">
        <v>3800</v>
      </c>
      <c r="AC238" s="35">
        <v>3800</v>
      </c>
      <c r="AD238" s="36"/>
    </row>
    <row r="239" spans="1:30" ht="16.5" customHeight="1" x14ac:dyDescent="0.25">
      <c r="A239" s="19" t="s">
        <v>1044</v>
      </c>
      <c r="B239" s="19" t="s">
        <v>1045</v>
      </c>
      <c r="C239" s="19" t="s">
        <v>1046</v>
      </c>
      <c r="D239" s="19" t="s">
        <v>1017</v>
      </c>
      <c r="E239" s="20"/>
      <c r="F239" s="21">
        <v>1</v>
      </c>
      <c r="G239" s="22" t="s">
        <v>1047</v>
      </c>
      <c r="H239" s="23">
        <v>2000</v>
      </c>
      <c r="I239" s="24">
        <v>3700</v>
      </c>
      <c r="J239" s="23">
        <v>0</v>
      </c>
      <c r="K239" s="25">
        <f t="shared" si="18"/>
        <v>3700</v>
      </c>
      <c r="L239" s="26">
        <f t="shared" si="19"/>
        <v>1.85</v>
      </c>
      <c r="M239" s="27">
        <v>0</v>
      </c>
      <c r="N239" s="28">
        <f t="shared" si="20"/>
        <v>3700</v>
      </c>
      <c r="O239" s="29">
        <f t="shared" si="21"/>
        <v>3700</v>
      </c>
      <c r="P239" s="29">
        <f t="shared" si="22"/>
        <v>3700</v>
      </c>
      <c r="Q239" s="30" t="e" cm="1">
        <f t="array" aca="1" ref="Q239" ca="1">spellNumber(P239)</f>
        <v>#NAME?</v>
      </c>
      <c r="R239" s="31">
        <f t="shared" si="23"/>
        <v>3900</v>
      </c>
      <c r="S239" s="32">
        <v>10000</v>
      </c>
      <c r="T239" s="32">
        <v>5000</v>
      </c>
      <c r="U239" s="32">
        <v>0</v>
      </c>
      <c r="V239" s="32">
        <v>0</v>
      </c>
      <c r="W239" s="32">
        <v>0</v>
      </c>
      <c r="X239" s="32">
        <v>0</v>
      </c>
      <c r="Y239" s="32">
        <v>0</v>
      </c>
      <c r="Z239" s="32">
        <v>10000</v>
      </c>
      <c r="AA239" s="33">
        <v>0</v>
      </c>
      <c r="AB239" s="34">
        <v>8000</v>
      </c>
      <c r="AC239" s="35">
        <v>0</v>
      </c>
      <c r="AD239" s="36"/>
    </row>
    <row r="240" spans="1:30" ht="16.5" customHeight="1" x14ac:dyDescent="0.25">
      <c r="A240" s="19" t="s">
        <v>1048</v>
      </c>
      <c r="B240" s="19" t="s">
        <v>1049</v>
      </c>
      <c r="C240" s="19" t="s">
        <v>1050</v>
      </c>
      <c r="D240" s="19" t="s">
        <v>1051</v>
      </c>
      <c r="E240" s="20"/>
      <c r="F240" s="21">
        <v>4</v>
      </c>
      <c r="G240" s="47" t="s">
        <v>1052</v>
      </c>
      <c r="H240" s="23">
        <v>7000</v>
      </c>
      <c r="I240" s="24">
        <v>6900</v>
      </c>
      <c r="J240" s="23">
        <v>6900</v>
      </c>
      <c r="K240" s="25">
        <f t="shared" si="18"/>
        <v>0</v>
      </c>
      <c r="L240" s="26">
        <f t="shared" si="19"/>
        <v>0</v>
      </c>
      <c r="M240" s="27">
        <v>0</v>
      </c>
      <c r="N240" s="28">
        <f t="shared" si="20"/>
        <v>6900</v>
      </c>
      <c r="O240" s="29">
        <f t="shared" si="21"/>
        <v>6900</v>
      </c>
      <c r="P240" s="29">
        <f t="shared" si="22"/>
        <v>6900</v>
      </c>
      <c r="Q240" s="30" t="e" cm="1">
        <f t="array" aca="1" ref="Q240" ca="1">spellNumber(P240)</f>
        <v>#NAME?</v>
      </c>
      <c r="R240" s="31">
        <f t="shared" si="23"/>
        <v>7100</v>
      </c>
      <c r="S240" s="32">
        <v>10000</v>
      </c>
      <c r="T240" s="32">
        <v>12000</v>
      </c>
      <c r="U240" s="32">
        <v>7000</v>
      </c>
      <c r="V240" s="32">
        <v>7000</v>
      </c>
      <c r="W240" s="32">
        <v>7000</v>
      </c>
      <c r="X240" s="32">
        <v>7000</v>
      </c>
      <c r="Y240" s="32">
        <v>7000</v>
      </c>
      <c r="Z240" s="32">
        <v>7000</v>
      </c>
      <c r="AA240" s="33">
        <v>7200</v>
      </c>
      <c r="AB240" s="34">
        <v>6900</v>
      </c>
      <c r="AC240" s="35">
        <v>7000</v>
      </c>
      <c r="AD240" s="36"/>
    </row>
    <row r="241" spans="1:30" ht="16.5" customHeight="1" x14ac:dyDescent="0.25">
      <c r="A241" s="19" t="s">
        <v>1053</v>
      </c>
      <c r="B241" s="19" t="s">
        <v>1054</v>
      </c>
      <c r="C241" s="19" t="s">
        <v>1055</v>
      </c>
      <c r="D241" s="19" t="s">
        <v>1017</v>
      </c>
      <c r="E241" s="20"/>
      <c r="F241" s="21">
        <v>1</v>
      </c>
      <c r="G241" s="47" t="s">
        <v>1056</v>
      </c>
      <c r="H241" s="23">
        <v>1500</v>
      </c>
      <c r="I241" s="24">
        <v>1500</v>
      </c>
      <c r="J241" s="23">
        <v>1500</v>
      </c>
      <c r="K241" s="25">
        <f t="shared" si="18"/>
        <v>0</v>
      </c>
      <c r="L241" s="26">
        <f t="shared" si="19"/>
        <v>0</v>
      </c>
      <c r="M241" s="27">
        <v>0</v>
      </c>
      <c r="N241" s="28">
        <f t="shared" si="20"/>
        <v>1500</v>
      </c>
      <c r="O241" s="29">
        <f t="shared" si="21"/>
        <v>1500</v>
      </c>
      <c r="P241" s="29">
        <f t="shared" si="22"/>
        <v>1500</v>
      </c>
      <c r="Q241" s="30" t="e" cm="1">
        <f t="array" aca="1" ref="Q241" ca="1">spellNumber(P241)</f>
        <v>#NAME?</v>
      </c>
      <c r="R241" s="31">
        <f t="shared" si="23"/>
        <v>1700</v>
      </c>
      <c r="S241" s="32">
        <v>3500</v>
      </c>
      <c r="T241" s="32">
        <v>1500</v>
      </c>
      <c r="U241" s="32">
        <v>1500</v>
      </c>
      <c r="V241" s="32">
        <v>1500</v>
      </c>
      <c r="W241" s="32">
        <v>0</v>
      </c>
      <c r="X241" s="32">
        <v>3000</v>
      </c>
      <c r="Y241" s="32">
        <v>1500</v>
      </c>
      <c r="Z241" s="32">
        <v>1500</v>
      </c>
      <c r="AA241" s="33">
        <v>1500</v>
      </c>
      <c r="AB241" s="34">
        <v>1500</v>
      </c>
      <c r="AC241" s="35">
        <v>1500</v>
      </c>
      <c r="AD241" s="36"/>
    </row>
    <row r="242" spans="1:30" ht="16.5" customHeight="1" x14ac:dyDescent="0.25">
      <c r="A242" s="19" t="s">
        <v>1057</v>
      </c>
      <c r="B242" s="19" t="s">
        <v>1058</v>
      </c>
      <c r="C242" s="19" t="s">
        <v>1059</v>
      </c>
      <c r="D242" s="19" t="s">
        <v>1060</v>
      </c>
      <c r="E242" s="20"/>
      <c r="F242" s="21">
        <v>3</v>
      </c>
      <c r="G242" s="47" t="s">
        <v>1061</v>
      </c>
      <c r="H242" s="23">
        <v>4500</v>
      </c>
      <c r="I242" s="24">
        <v>4500</v>
      </c>
      <c r="J242" s="23">
        <v>4500</v>
      </c>
      <c r="K242" s="25">
        <f t="shared" si="18"/>
        <v>0</v>
      </c>
      <c r="L242" s="26">
        <f t="shared" si="19"/>
        <v>0</v>
      </c>
      <c r="M242" s="27">
        <v>0</v>
      </c>
      <c r="N242" s="28">
        <f t="shared" si="20"/>
        <v>4500</v>
      </c>
      <c r="O242" s="29">
        <f t="shared" si="21"/>
        <v>4500</v>
      </c>
      <c r="P242" s="29">
        <f t="shared" si="22"/>
        <v>4500</v>
      </c>
      <c r="Q242" s="30" t="e" cm="1">
        <f t="array" aca="1" ref="Q242" ca="1">spellNumber(P242)</f>
        <v>#NAME?</v>
      </c>
      <c r="R242" s="31">
        <f t="shared" si="23"/>
        <v>4700</v>
      </c>
      <c r="S242" s="32">
        <v>9000</v>
      </c>
      <c r="T242" s="32">
        <v>4500</v>
      </c>
      <c r="U242" s="32">
        <v>4500</v>
      </c>
      <c r="V242" s="32">
        <v>4500</v>
      </c>
      <c r="W242" s="32">
        <v>0</v>
      </c>
      <c r="X242" s="32">
        <v>9000</v>
      </c>
      <c r="Y242" s="32">
        <v>4500</v>
      </c>
      <c r="Z242" s="32">
        <v>0</v>
      </c>
      <c r="AA242" s="33">
        <v>4500</v>
      </c>
      <c r="AB242" s="34">
        <v>4500</v>
      </c>
      <c r="AC242" s="35">
        <v>4500</v>
      </c>
      <c r="AD242" s="36"/>
    </row>
    <row r="243" spans="1:30" ht="16.5" customHeight="1" x14ac:dyDescent="0.25">
      <c r="A243" s="19" t="s">
        <v>1062</v>
      </c>
      <c r="B243" s="19" t="s">
        <v>1063</v>
      </c>
      <c r="C243" s="19" t="s">
        <v>1064</v>
      </c>
      <c r="D243" s="19" t="s">
        <v>1008</v>
      </c>
      <c r="E243" s="20"/>
      <c r="F243" s="21">
        <v>3</v>
      </c>
      <c r="G243" s="47" t="s">
        <v>1065</v>
      </c>
      <c r="H243" s="23">
        <v>5000</v>
      </c>
      <c r="I243" s="24">
        <v>5000</v>
      </c>
      <c r="J243" s="23">
        <v>5000</v>
      </c>
      <c r="K243" s="25">
        <f t="shared" si="18"/>
        <v>0</v>
      </c>
      <c r="L243" s="26">
        <f t="shared" si="19"/>
        <v>0</v>
      </c>
      <c r="M243" s="27">
        <v>0</v>
      </c>
      <c r="N243" s="28">
        <f t="shared" si="20"/>
        <v>5000</v>
      </c>
      <c r="O243" s="29">
        <f t="shared" si="21"/>
        <v>5000</v>
      </c>
      <c r="P243" s="29">
        <f t="shared" si="22"/>
        <v>5000</v>
      </c>
      <c r="Q243" s="30" t="e" cm="1">
        <f t="array" aca="1" ref="Q243" ca="1">spellNumber(P243)</f>
        <v>#NAME?</v>
      </c>
      <c r="R243" s="31">
        <f t="shared" si="23"/>
        <v>5200</v>
      </c>
      <c r="S243" s="32">
        <v>10000</v>
      </c>
      <c r="T243" s="32">
        <v>5000</v>
      </c>
      <c r="U243" s="32">
        <v>5000</v>
      </c>
      <c r="V243" s="32">
        <v>0</v>
      </c>
      <c r="W243" s="32">
        <v>0</v>
      </c>
      <c r="X243" s="32">
        <v>10000</v>
      </c>
      <c r="Y243" s="32">
        <v>5000</v>
      </c>
      <c r="Z243" s="32">
        <v>5000</v>
      </c>
      <c r="AA243" s="33">
        <v>5000</v>
      </c>
      <c r="AB243" s="34">
        <v>5000</v>
      </c>
      <c r="AC243" s="35">
        <v>0</v>
      </c>
      <c r="AD243" s="36"/>
    </row>
    <row r="244" spans="1:30" ht="16.5" customHeight="1" x14ac:dyDescent="0.25">
      <c r="A244" s="19" t="s">
        <v>1066</v>
      </c>
      <c r="B244" s="19" t="s">
        <v>1067</v>
      </c>
      <c r="C244" s="19" t="s">
        <v>1068</v>
      </c>
      <c r="D244" s="19" t="s">
        <v>1017</v>
      </c>
      <c r="E244" s="20"/>
      <c r="F244" s="21">
        <v>1</v>
      </c>
      <c r="G244" s="47" t="s">
        <v>1069</v>
      </c>
      <c r="H244" s="23">
        <v>2200</v>
      </c>
      <c r="I244" s="24">
        <v>3050</v>
      </c>
      <c r="J244" s="23">
        <v>3050</v>
      </c>
      <c r="K244" s="25">
        <f t="shared" si="18"/>
        <v>0</v>
      </c>
      <c r="L244" s="26">
        <f t="shared" si="19"/>
        <v>0</v>
      </c>
      <c r="M244" s="27">
        <v>0</v>
      </c>
      <c r="N244" s="28">
        <f t="shared" si="20"/>
        <v>3050</v>
      </c>
      <c r="O244" s="29">
        <f t="shared" si="21"/>
        <v>3050</v>
      </c>
      <c r="P244" s="29">
        <f t="shared" si="22"/>
        <v>3100</v>
      </c>
      <c r="Q244" s="30" t="e" cm="1">
        <f t="array" aca="1" ref="Q244" ca="1">spellNumber(P244)</f>
        <v>#NAME?</v>
      </c>
      <c r="R244" s="31">
        <f t="shared" si="23"/>
        <v>3300</v>
      </c>
      <c r="S244" s="32">
        <v>0</v>
      </c>
      <c r="T244" s="32">
        <v>6900</v>
      </c>
      <c r="U244" s="32">
        <v>2000</v>
      </c>
      <c r="V244" s="32">
        <v>0</v>
      </c>
      <c r="W244" s="32">
        <v>0</v>
      </c>
      <c r="X244" s="32">
        <v>0</v>
      </c>
      <c r="Y244" s="32">
        <v>0</v>
      </c>
      <c r="Z244" s="32">
        <v>0</v>
      </c>
      <c r="AA244" s="33">
        <v>6000</v>
      </c>
      <c r="AB244" s="34">
        <v>0</v>
      </c>
      <c r="AC244" s="35">
        <v>9000</v>
      </c>
      <c r="AD244" s="36"/>
    </row>
    <row r="245" spans="1:30" ht="16.5" customHeight="1" x14ac:dyDescent="0.25">
      <c r="A245" s="19" t="s">
        <v>1070</v>
      </c>
      <c r="B245" s="19" t="s">
        <v>1071</v>
      </c>
      <c r="C245" s="19" t="s">
        <v>1072</v>
      </c>
      <c r="D245" s="19" t="s">
        <v>1073</v>
      </c>
      <c r="E245" s="20"/>
      <c r="F245" s="21">
        <v>1</v>
      </c>
      <c r="G245" s="47" t="s">
        <v>1074</v>
      </c>
      <c r="H245" s="23">
        <v>2100</v>
      </c>
      <c r="I245" s="24">
        <v>24900</v>
      </c>
      <c r="J245" s="23">
        <v>0</v>
      </c>
      <c r="K245" s="25">
        <f t="shared" si="18"/>
        <v>24900</v>
      </c>
      <c r="L245" s="26">
        <f t="shared" si="19"/>
        <v>11.857142857142858</v>
      </c>
      <c r="M245" s="27">
        <v>0</v>
      </c>
      <c r="N245" s="28">
        <f t="shared" si="20"/>
        <v>24900</v>
      </c>
      <c r="O245" s="29">
        <f t="shared" si="21"/>
        <v>24900</v>
      </c>
      <c r="P245" s="29">
        <f t="shared" si="22"/>
        <v>24900</v>
      </c>
      <c r="Q245" s="30" t="e" cm="1">
        <f t="array" aca="1" ref="Q245" ca="1">spellNumber(P245)</f>
        <v>#NAME?</v>
      </c>
      <c r="R245" s="31">
        <f t="shared" si="23"/>
        <v>25100</v>
      </c>
      <c r="S245" s="32">
        <v>6500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3">
        <v>0</v>
      </c>
      <c r="AB245" s="34">
        <v>0</v>
      </c>
      <c r="AC245" s="35">
        <v>0</v>
      </c>
      <c r="AD245" s="36"/>
    </row>
    <row r="246" spans="1:30" ht="16.5" customHeight="1" x14ac:dyDescent="0.25">
      <c r="A246" s="19" t="s">
        <v>1075</v>
      </c>
      <c r="B246" s="19" t="s">
        <v>1076</v>
      </c>
      <c r="C246" s="19" t="s">
        <v>1077</v>
      </c>
      <c r="D246" s="19" t="s">
        <v>1017</v>
      </c>
      <c r="E246" s="20"/>
      <c r="F246" s="21">
        <v>1</v>
      </c>
      <c r="G246" s="22" t="s">
        <v>1078</v>
      </c>
      <c r="H246" s="23">
        <v>2300</v>
      </c>
      <c r="I246" s="24">
        <v>2300</v>
      </c>
      <c r="J246" s="23">
        <v>2300</v>
      </c>
      <c r="K246" s="25">
        <f t="shared" si="18"/>
        <v>0</v>
      </c>
      <c r="L246" s="26">
        <f t="shared" si="19"/>
        <v>0</v>
      </c>
      <c r="M246" s="27">
        <v>0</v>
      </c>
      <c r="N246" s="28">
        <f t="shared" si="20"/>
        <v>2300</v>
      </c>
      <c r="O246" s="29">
        <f t="shared" si="21"/>
        <v>2300</v>
      </c>
      <c r="P246" s="29">
        <f t="shared" si="22"/>
        <v>2300</v>
      </c>
      <c r="Q246" s="30" t="e" cm="1">
        <f t="array" aca="1" ref="Q246" ca="1">spellNumber(P246)</f>
        <v>#NAME?</v>
      </c>
      <c r="R246" s="31">
        <f t="shared" si="23"/>
        <v>2500</v>
      </c>
      <c r="S246" s="32">
        <v>4700</v>
      </c>
      <c r="T246" s="32">
        <v>2200</v>
      </c>
      <c r="U246" s="32">
        <v>2200</v>
      </c>
      <c r="V246" s="32">
        <v>2200</v>
      </c>
      <c r="W246" s="32">
        <v>2200</v>
      </c>
      <c r="X246" s="32">
        <v>2200</v>
      </c>
      <c r="Y246" s="32">
        <v>2200</v>
      </c>
      <c r="Z246" s="32">
        <v>2200</v>
      </c>
      <c r="AA246" s="33">
        <v>2200</v>
      </c>
      <c r="AB246" s="34">
        <v>2200</v>
      </c>
      <c r="AC246" s="35">
        <v>2200</v>
      </c>
      <c r="AD246" s="36"/>
    </row>
    <row r="247" spans="1:30" ht="16.5" customHeight="1" x14ac:dyDescent="0.25">
      <c r="A247" s="19" t="s">
        <v>1079</v>
      </c>
      <c r="B247" s="19" t="s">
        <v>1080</v>
      </c>
      <c r="C247" s="19" t="s">
        <v>1081</v>
      </c>
      <c r="D247" s="19" t="s">
        <v>1082</v>
      </c>
      <c r="E247" s="20"/>
      <c r="F247" s="21">
        <v>2</v>
      </c>
      <c r="G247" s="47" t="s">
        <v>1083</v>
      </c>
      <c r="H247" s="23">
        <v>3600</v>
      </c>
      <c r="I247" s="24">
        <v>8666</v>
      </c>
      <c r="J247" s="23">
        <v>8666</v>
      </c>
      <c r="K247" s="25">
        <f t="shared" si="18"/>
        <v>0</v>
      </c>
      <c r="L247" s="26">
        <f t="shared" si="19"/>
        <v>0</v>
      </c>
      <c r="M247" s="27">
        <v>0</v>
      </c>
      <c r="N247" s="28">
        <f t="shared" si="20"/>
        <v>8666</v>
      </c>
      <c r="O247" s="29">
        <f t="shared" si="21"/>
        <v>8666</v>
      </c>
      <c r="P247" s="29">
        <f t="shared" si="22"/>
        <v>8700</v>
      </c>
      <c r="Q247" s="30" t="e" cm="1">
        <f t="array" aca="1" ref="Q247" ca="1">spellNumber(P247)</f>
        <v>#NAME?</v>
      </c>
      <c r="R247" s="31">
        <f t="shared" si="23"/>
        <v>8900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32">
        <v>0</v>
      </c>
      <c r="Y247" s="32">
        <v>8617</v>
      </c>
      <c r="Z247" s="32">
        <v>8617</v>
      </c>
      <c r="AA247" s="33">
        <v>8600</v>
      </c>
      <c r="AB247" s="34">
        <v>8600</v>
      </c>
      <c r="AC247" s="35">
        <v>8600</v>
      </c>
      <c r="AD247" s="36"/>
    </row>
    <row r="248" spans="1:30" ht="16.5" customHeight="1" x14ac:dyDescent="0.25">
      <c r="A248" s="19" t="s">
        <v>1084</v>
      </c>
      <c r="B248" s="19" t="s">
        <v>1085</v>
      </c>
      <c r="C248" s="19" t="s">
        <v>1086</v>
      </c>
      <c r="D248" s="19" t="s">
        <v>1082</v>
      </c>
      <c r="E248" s="20"/>
      <c r="F248" s="21">
        <v>2</v>
      </c>
      <c r="G248" s="22" t="s">
        <v>1087</v>
      </c>
      <c r="H248" s="23">
        <v>4500</v>
      </c>
      <c r="I248" s="24">
        <v>6434</v>
      </c>
      <c r="J248" s="23">
        <v>6434</v>
      </c>
      <c r="K248" s="25">
        <f t="shared" si="18"/>
        <v>0</v>
      </c>
      <c r="L248" s="26">
        <f t="shared" si="19"/>
        <v>0</v>
      </c>
      <c r="M248" s="27">
        <v>0</v>
      </c>
      <c r="N248" s="28">
        <f t="shared" si="20"/>
        <v>6434</v>
      </c>
      <c r="O248" s="29">
        <f t="shared" si="21"/>
        <v>6434</v>
      </c>
      <c r="P248" s="29">
        <f t="shared" si="22"/>
        <v>6400</v>
      </c>
      <c r="Q248" s="30" t="e" cm="1">
        <f t="array" aca="1" ref="Q248" ca="1">spellNumber(P248)</f>
        <v>#NAME?</v>
      </c>
      <c r="R248" s="31">
        <f t="shared" si="23"/>
        <v>6600</v>
      </c>
      <c r="S248" s="32">
        <v>5000</v>
      </c>
      <c r="T248" s="32">
        <v>9000</v>
      </c>
      <c r="U248" s="32">
        <v>4500</v>
      </c>
      <c r="V248" s="32">
        <v>0</v>
      </c>
      <c r="W248" s="32">
        <v>0</v>
      </c>
      <c r="X248" s="32">
        <v>5000</v>
      </c>
      <c r="Y248" s="32">
        <v>6583</v>
      </c>
      <c r="Z248" s="32">
        <v>6583</v>
      </c>
      <c r="AA248" s="33">
        <v>7000</v>
      </c>
      <c r="AB248" s="34">
        <v>6400</v>
      </c>
      <c r="AC248" s="35">
        <v>6500</v>
      </c>
      <c r="AD248" s="36"/>
    </row>
    <row r="249" spans="1:30" ht="16.5" customHeight="1" x14ac:dyDescent="0.25">
      <c r="A249" s="19" t="s">
        <v>1088</v>
      </c>
      <c r="B249" s="19" t="s">
        <v>1089</v>
      </c>
      <c r="C249" s="19" t="s">
        <v>1090</v>
      </c>
      <c r="D249" s="19" t="s">
        <v>1073</v>
      </c>
      <c r="E249" s="20"/>
      <c r="F249" s="21">
        <v>1</v>
      </c>
      <c r="G249" s="22" t="s">
        <v>1091</v>
      </c>
      <c r="H249" s="23">
        <v>2200</v>
      </c>
      <c r="I249" s="24">
        <v>3380</v>
      </c>
      <c r="J249" s="23">
        <v>3380</v>
      </c>
      <c r="K249" s="25">
        <f t="shared" si="18"/>
        <v>0</v>
      </c>
      <c r="L249" s="26">
        <f t="shared" si="19"/>
        <v>0</v>
      </c>
      <c r="M249" s="27">
        <v>0</v>
      </c>
      <c r="N249" s="28">
        <f t="shared" si="20"/>
        <v>3380</v>
      </c>
      <c r="O249" s="29">
        <f t="shared" si="21"/>
        <v>3380</v>
      </c>
      <c r="P249" s="29">
        <f t="shared" si="22"/>
        <v>3400</v>
      </c>
      <c r="Q249" s="30" t="e" cm="1">
        <f t="array" aca="1" ref="Q249" ca="1">spellNumber(P249)</f>
        <v>#NAME?</v>
      </c>
      <c r="R249" s="31">
        <f t="shared" si="23"/>
        <v>3600</v>
      </c>
      <c r="S249" s="32">
        <v>3800</v>
      </c>
      <c r="T249" s="32">
        <v>3000</v>
      </c>
      <c r="U249" s="32">
        <v>3000</v>
      </c>
      <c r="V249" s="32">
        <v>2200</v>
      </c>
      <c r="W249" s="32">
        <v>2200</v>
      </c>
      <c r="X249" s="32">
        <v>2200</v>
      </c>
      <c r="Y249" s="32">
        <v>2200</v>
      </c>
      <c r="Z249" s="32">
        <v>3360</v>
      </c>
      <c r="AA249" s="33">
        <v>3360</v>
      </c>
      <c r="AB249" s="34">
        <v>3400</v>
      </c>
      <c r="AC249" s="35">
        <v>3300</v>
      </c>
      <c r="AD249" s="36"/>
    </row>
    <row r="250" spans="1:30" ht="16.5" customHeight="1" x14ac:dyDescent="0.25">
      <c r="A250" s="19" t="s">
        <v>1092</v>
      </c>
      <c r="B250" s="19" t="s">
        <v>1093</v>
      </c>
      <c r="C250" s="19" t="s">
        <v>1094</v>
      </c>
      <c r="D250" s="19" t="s">
        <v>1095</v>
      </c>
      <c r="E250" s="20" t="s">
        <v>40</v>
      </c>
      <c r="F250" s="21">
        <v>2</v>
      </c>
      <c r="G250" s="47" t="s">
        <v>1096</v>
      </c>
      <c r="H250" s="23">
        <v>4500</v>
      </c>
      <c r="I250" s="24">
        <v>4500</v>
      </c>
      <c r="J250" s="23">
        <v>4500</v>
      </c>
      <c r="K250" s="25">
        <f t="shared" si="18"/>
        <v>0</v>
      </c>
      <c r="L250" s="26">
        <f t="shared" si="19"/>
        <v>0</v>
      </c>
      <c r="M250" s="27">
        <v>0</v>
      </c>
      <c r="N250" s="28">
        <f t="shared" si="20"/>
        <v>4500</v>
      </c>
      <c r="O250" s="29">
        <f t="shared" si="21"/>
        <v>4500</v>
      </c>
      <c r="P250" s="29">
        <f t="shared" si="22"/>
        <v>4500</v>
      </c>
      <c r="Q250" s="30" t="e" cm="1">
        <f t="array" aca="1" ref="Q250" ca="1">spellNumber(P250)</f>
        <v>#NAME?</v>
      </c>
      <c r="R250" s="31">
        <f t="shared" si="23"/>
        <v>4700</v>
      </c>
      <c r="S250" s="32">
        <v>0</v>
      </c>
      <c r="T250" s="32">
        <v>7000</v>
      </c>
      <c r="U250" s="32">
        <v>1600</v>
      </c>
      <c r="V250" s="32">
        <v>2400</v>
      </c>
      <c r="W250" s="32">
        <v>9500</v>
      </c>
      <c r="X250" s="32">
        <v>4500</v>
      </c>
      <c r="Y250" s="32">
        <v>4500</v>
      </c>
      <c r="Z250" s="32">
        <v>4500</v>
      </c>
      <c r="AA250" s="33">
        <v>4500</v>
      </c>
      <c r="AB250" s="34">
        <v>4500</v>
      </c>
      <c r="AC250" s="35">
        <v>4500</v>
      </c>
      <c r="AD250" s="36"/>
    </row>
    <row r="251" spans="1:30" ht="16.5" customHeight="1" x14ac:dyDescent="0.25">
      <c r="A251" s="19" t="s">
        <v>1097</v>
      </c>
      <c r="B251" s="19" t="s">
        <v>1098</v>
      </c>
      <c r="C251" s="19" t="s">
        <v>1099</v>
      </c>
      <c r="D251" s="19" t="s">
        <v>1031</v>
      </c>
      <c r="E251" s="20"/>
      <c r="F251" s="21">
        <v>2</v>
      </c>
      <c r="G251" s="22" t="s">
        <v>1100</v>
      </c>
      <c r="H251" s="23">
        <v>3800</v>
      </c>
      <c r="I251" s="24">
        <v>14500</v>
      </c>
      <c r="J251" s="23">
        <v>5000</v>
      </c>
      <c r="K251" s="25">
        <f t="shared" si="18"/>
        <v>9500</v>
      </c>
      <c r="L251" s="26">
        <f t="shared" si="19"/>
        <v>2.5</v>
      </c>
      <c r="M251" s="27">
        <v>0</v>
      </c>
      <c r="N251" s="28">
        <f t="shared" si="20"/>
        <v>14500</v>
      </c>
      <c r="O251" s="29">
        <f t="shared" si="21"/>
        <v>14500</v>
      </c>
      <c r="P251" s="29">
        <f t="shared" si="22"/>
        <v>14500</v>
      </c>
      <c r="Q251" s="30" t="e" cm="1">
        <f t="array" aca="1" ref="Q251" ca="1">spellNumber(P251)</f>
        <v>#NAME?</v>
      </c>
      <c r="R251" s="31">
        <f t="shared" si="23"/>
        <v>14700</v>
      </c>
      <c r="S251" s="32">
        <v>5000</v>
      </c>
      <c r="T251" s="32">
        <v>0</v>
      </c>
      <c r="U251" s="32">
        <v>0</v>
      </c>
      <c r="V251" s="32">
        <v>0</v>
      </c>
      <c r="W251" s="32">
        <v>7000</v>
      </c>
      <c r="X251" s="32">
        <v>6000</v>
      </c>
      <c r="Y251" s="32">
        <v>5400</v>
      </c>
      <c r="Z251" s="32">
        <v>0</v>
      </c>
      <c r="AA251" s="33">
        <v>5000</v>
      </c>
      <c r="AB251" s="34">
        <v>5000</v>
      </c>
      <c r="AC251" s="35">
        <v>4500</v>
      </c>
      <c r="AD251" s="36"/>
    </row>
    <row r="252" spans="1:30" ht="16.5" customHeight="1" x14ac:dyDescent="0.25">
      <c r="A252" s="19" t="s">
        <v>1101</v>
      </c>
      <c r="B252" s="19" t="s">
        <v>1102</v>
      </c>
      <c r="C252" s="19" t="s">
        <v>1103</v>
      </c>
      <c r="D252" s="19" t="s">
        <v>1031</v>
      </c>
      <c r="E252" s="20"/>
      <c r="F252" s="21">
        <v>2</v>
      </c>
      <c r="G252" s="22" t="s">
        <v>1104</v>
      </c>
      <c r="H252" s="23">
        <v>4000</v>
      </c>
      <c r="I252" s="24">
        <v>4966</v>
      </c>
      <c r="J252" s="23">
        <v>4966</v>
      </c>
      <c r="K252" s="25">
        <f t="shared" si="18"/>
        <v>0</v>
      </c>
      <c r="L252" s="26">
        <f t="shared" si="19"/>
        <v>0</v>
      </c>
      <c r="M252" s="27">
        <v>0</v>
      </c>
      <c r="N252" s="28">
        <f t="shared" si="20"/>
        <v>4966</v>
      </c>
      <c r="O252" s="29">
        <f t="shared" si="21"/>
        <v>4966</v>
      </c>
      <c r="P252" s="29">
        <f t="shared" si="22"/>
        <v>5000</v>
      </c>
      <c r="Q252" s="30" t="e" cm="1">
        <f t="array" aca="1" ref="Q252" ca="1">spellNumber(P252)</f>
        <v>#NAME?</v>
      </c>
      <c r="R252" s="31">
        <f t="shared" si="23"/>
        <v>5200</v>
      </c>
      <c r="S252" s="32">
        <v>3500</v>
      </c>
      <c r="T252" s="32">
        <v>3000</v>
      </c>
      <c r="U252" s="32">
        <v>5000</v>
      </c>
      <c r="V252" s="32">
        <v>5000</v>
      </c>
      <c r="W252" s="32">
        <v>4200</v>
      </c>
      <c r="X252" s="32">
        <v>5000</v>
      </c>
      <c r="Y252" s="32">
        <v>4967</v>
      </c>
      <c r="Z252" s="32">
        <v>4967</v>
      </c>
      <c r="AA252" s="33">
        <v>5000</v>
      </c>
      <c r="AB252" s="34">
        <v>5000</v>
      </c>
      <c r="AC252" s="35">
        <v>4900</v>
      </c>
      <c r="AD252" s="36"/>
    </row>
    <row r="253" spans="1:30" ht="16.5" customHeight="1" x14ac:dyDescent="0.25">
      <c r="A253" s="19" t="s">
        <v>1105</v>
      </c>
      <c r="B253" s="19" t="s">
        <v>1106</v>
      </c>
      <c r="C253" s="19" t="s">
        <v>880</v>
      </c>
      <c r="D253" s="19" t="s">
        <v>1107</v>
      </c>
      <c r="E253" s="20"/>
      <c r="F253" s="21">
        <v>2</v>
      </c>
      <c r="G253" s="22" t="s">
        <v>1108</v>
      </c>
      <c r="H253" s="23">
        <v>3600</v>
      </c>
      <c r="I253" s="24">
        <v>8600</v>
      </c>
      <c r="J253" s="23">
        <v>3600</v>
      </c>
      <c r="K253" s="25">
        <f t="shared" si="18"/>
        <v>5000</v>
      </c>
      <c r="L253" s="26">
        <f t="shared" si="19"/>
        <v>1.3888888888888888</v>
      </c>
      <c r="M253" s="27">
        <v>0</v>
      </c>
      <c r="N253" s="28">
        <f t="shared" si="20"/>
        <v>8600</v>
      </c>
      <c r="O253" s="29">
        <f t="shared" si="21"/>
        <v>8600</v>
      </c>
      <c r="P253" s="29">
        <f t="shared" si="22"/>
        <v>8600</v>
      </c>
      <c r="Q253" s="30" t="e" cm="1">
        <f t="array" aca="1" ref="Q253" ca="1">spellNumber(P253)</f>
        <v>#NAME?</v>
      </c>
      <c r="R253" s="31">
        <f t="shared" si="23"/>
        <v>8800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15600</v>
      </c>
      <c r="Y253" s="32">
        <v>3600</v>
      </c>
      <c r="Z253" s="32">
        <v>3600</v>
      </c>
      <c r="AA253" s="33">
        <v>3600</v>
      </c>
      <c r="AB253" s="34">
        <v>3600</v>
      </c>
      <c r="AC253" s="35">
        <v>8600</v>
      </c>
      <c r="AD253" s="36"/>
    </row>
    <row r="254" spans="1:30" ht="16.5" customHeight="1" x14ac:dyDescent="0.25">
      <c r="A254" s="19" t="s">
        <v>1109</v>
      </c>
      <c r="B254" s="19" t="s">
        <v>1110</v>
      </c>
      <c r="C254" s="19" t="s">
        <v>1111</v>
      </c>
      <c r="D254" s="19" t="s">
        <v>1112</v>
      </c>
      <c r="E254" s="20"/>
      <c r="F254" s="21">
        <v>3</v>
      </c>
      <c r="G254" s="22" t="s">
        <v>1113</v>
      </c>
      <c r="H254" s="23">
        <v>6000</v>
      </c>
      <c r="I254" s="24">
        <v>11833</v>
      </c>
      <c r="J254" s="23">
        <v>6000</v>
      </c>
      <c r="K254" s="25">
        <f t="shared" si="18"/>
        <v>5833</v>
      </c>
      <c r="L254" s="26">
        <f t="shared" si="19"/>
        <v>0.97216666666666662</v>
      </c>
      <c r="M254" s="27">
        <v>0</v>
      </c>
      <c r="N254" s="28">
        <f t="shared" si="20"/>
        <v>11833</v>
      </c>
      <c r="O254" s="29">
        <f t="shared" si="21"/>
        <v>11833</v>
      </c>
      <c r="P254" s="29">
        <f t="shared" si="22"/>
        <v>11800</v>
      </c>
      <c r="Q254" s="30" t="e" cm="1">
        <f t="array" aca="1" ref="Q254" ca="1">spellNumber(P254)</f>
        <v>#NAME?</v>
      </c>
      <c r="R254" s="31">
        <f t="shared" si="23"/>
        <v>12000</v>
      </c>
      <c r="S254" s="32">
        <v>0</v>
      </c>
      <c r="T254" s="32">
        <v>7500</v>
      </c>
      <c r="U254" s="32">
        <v>7000</v>
      </c>
      <c r="V254" s="32">
        <v>7000</v>
      </c>
      <c r="W254" s="32">
        <v>7000</v>
      </c>
      <c r="X254" s="32">
        <v>7000</v>
      </c>
      <c r="Y254" s="32">
        <v>7167</v>
      </c>
      <c r="Z254" s="32">
        <v>6000</v>
      </c>
      <c r="AA254" s="33">
        <v>6000</v>
      </c>
      <c r="AB254" s="34">
        <v>6000</v>
      </c>
      <c r="AC254" s="35">
        <v>6000</v>
      </c>
      <c r="AD254" s="36"/>
    </row>
    <row r="255" spans="1:30" ht="16.5" customHeight="1" x14ac:dyDescent="0.25">
      <c r="A255" s="19" t="s">
        <v>1114</v>
      </c>
      <c r="B255" s="19" t="s">
        <v>470</v>
      </c>
      <c r="C255" s="19" t="s">
        <v>1115</v>
      </c>
      <c r="D255" s="19" t="s">
        <v>1017</v>
      </c>
      <c r="E255" s="20"/>
      <c r="F255" s="21">
        <v>1</v>
      </c>
      <c r="G255" s="47" t="s">
        <v>1116</v>
      </c>
      <c r="H255" s="23">
        <v>2300</v>
      </c>
      <c r="I255" s="24">
        <v>2200</v>
      </c>
      <c r="J255" s="23">
        <v>0</v>
      </c>
      <c r="K255" s="25">
        <f t="shared" si="18"/>
        <v>2200</v>
      </c>
      <c r="L255" s="26">
        <f t="shared" si="19"/>
        <v>0.95652173913043481</v>
      </c>
      <c r="M255" s="27">
        <v>0</v>
      </c>
      <c r="N255" s="28">
        <f t="shared" si="20"/>
        <v>2200</v>
      </c>
      <c r="O255" s="29">
        <f t="shared" si="21"/>
        <v>2200</v>
      </c>
      <c r="P255" s="29">
        <f t="shared" si="22"/>
        <v>2200</v>
      </c>
      <c r="Q255" s="30" t="e" cm="1">
        <f t="array" aca="1" ref="Q255" ca="1">spellNumber(P255)</f>
        <v>#NAME?</v>
      </c>
      <c r="R255" s="31">
        <f t="shared" si="23"/>
        <v>2400</v>
      </c>
      <c r="S255" s="32">
        <v>0</v>
      </c>
      <c r="T255" s="32">
        <v>8600</v>
      </c>
      <c r="U255" s="32">
        <v>4000</v>
      </c>
      <c r="V255" s="32">
        <v>0</v>
      </c>
      <c r="W255" s="32">
        <v>0</v>
      </c>
      <c r="X255" s="32">
        <v>5000</v>
      </c>
      <c r="Y255" s="32">
        <v>2500</v>
      </c>
      <c r="Z255" s="32">
        <v>2300</v>
      </c>
      <c r="AA255" s="33">
        <v>2500</v>
      </c>
      <c r="AB255" s="34">
        <v>2300</v>
      </c>
      <c r="AC255" s="35">
        <v>2200</v>
      </c>
      <c r="AD255" s="36"/>
    </row>
    <row r="256" spans="1:30" ht="16.5" customHeight="1" x14ac:dyDescent="0.25">
      <c r="A256" s="19" t="s">
        <v>1117</v>
      </c>
      <c r="B256" s="19" t="s">
        <v>1118</v>
      </c>
      <c r="C256" s="19" t="s">
        <v>1119</v>
      </c>
      <c r="D256" s="19" t="s">
        <v>1082</v>
      </c>
      <c r="E256" s="20"/>
      <c r="F256" s="21">
        <v>2</v>
      </c>
      <c r="G256" s="22" t="s">
        <v>1120</v>
      </c>
      <c r="H256" s="23">
        <v>4300</v>
      </c>
      <c r="I256" s="24">
        <v>4320</v>
      </c>
      <c r="J256" s="23">
        <v>4320</v>
      </c>
      <c r="K256" s="25">
        <f t="shared" si="18"/>
        <v>0</v>
      </c>
      <c r="L256" s="26">
        <f t="shared" si="19"/>
        <v>0</v>
      </c>
      <c r="M256" s="27">
        <v>0</v>
      </c>
      <c r="N256" s="28">
        <f t="shared" si="20"/>
        <v>4320</v>
      </c>
      <c r="O256" s="29">
        <f t="shared" si="21"/>
        <v>4320</v>
      </c>
      <c r="P256" s="29">
        <f t="shared" si="22"/>
        <v>4300</v>
      </c>
      <c r="Q256" s="30" t="e" cm="1">
        <f t="array" aca="1" ref="Q256" ca="1">spellNumber(P256)</f>
        <v>#NAME?</v>
      </c>
      <c r="R256" s="31">
        <f t="shared" si="23"/>
        <v>4500</v>
      </c>
      <c r="S256" s="32">
        <v>5000</v>
      </c>
      <c r="T256" s="32">
        <v>4300</v>
      </c>
      <c r="U256" s="32">
        <v>4300</v>
      </c>
      <c r="V256" s="32">
        <v>0</v>
      </c>
      <c r="W256" s="32">
        <v>0</v>
      </c>
      <c r="X256" s="32">
        <v>8000</v>
      </c>
      <c r="Y256" s="32">
        <v>9000</v>
      </c>
      <c r="Z256" s="32">
        <v>4340</v>
      </c>
      <c r="AA256" s="33">
        <v>4340</v>
      </c>
      <c r="AB256" s="34">
        <v>4300</v>
      </c>
      <c r="AC256" s="35">
        <v>4400</v>
      </c>
      <c r="AD256" s="36"/>
    </row>
    <row r="257" spans="1:30" ht="16.5" customHeight="1" x14ac:dyDescent="0.25">
      <c r="A257" s="19" t="s">
        <v>1121</v>
      </c>
      <c r="B257" s="19" t="s">
        <v>1122</v>
      </c>
      <c r="C257" s="19" t="s">
        <v>1123</v>
      </c>
      <c r="D257" s="19" t="s">
        <v>1107</v>
      </c>
      <c r="E257" s="20"/>
      <c r="F257" s="21">
        <v>2</v>
      </c>
      <c r="G257" s="47" t="s">
        <v>1124</v>
      </c>
      <c r="H257" s="23">
        <v>4200</v>
      </c>
      <c r="I257" s="24">
        <v>6340</v>
      </c>
      <c r="J257" s="23">
        <v>6300</v>
      </c>
      <c r="K257" s="25">
        <f t="shared" si="18"/>
        <v>40</v>
      </c>
      <c r="L257" s="26">
        <f t="shared" si="19"/>
        <v>9.5238095238095247E-3</v>
      </c>
      <c r="M257" s="27">
        <v>0</v>
      </c>
      <c r="N257" s="28">
        <f t="shared" si="20"/>
        <v>6340</v>
      </c>
      <c r="O257" s="29">
        <f t="shared" si="21"/>
        <v>6340</v>
      </c>
      <c r="P257" s="29">
        <f t="shared" si="22"/>
        <v>6300</v>
      </c>
      <c r="Q257" s="30" t="e" cm="1">
        <f t="array" aca="1" ref="Q257" ca="1">spellNumber(P257)</f>
        <v>#NAME?</v>
      </c>
      <c r="R257" s="31">
        <f t="shared" si="23"/>
        <v>6500</v>
      </c>
      <c r="S257" s="32">
        <v>5000</v>
      </c>
      <c r="T257" s="32">
        <v>0</v>
      </c>
      <c r="U257" s="32">
        <v>6000</v>
      </c>
      <c r="V257" s="32">
        <v>0</v>
      </c>
      <c r="W257" s="32">
        <v>6000</v>
      </c>
      <c r="X257" s="32">
        <v>5000</v>
      </c>
      <c r="Y257" s="32">
        <v>5600</v>
      </c>
      <c r="Z257" s="32">
        <v>5980</v>
      </c>
      <c r="AA257" s="33">
        <v>5980</v>
      </c>
      <c r="AB257" s="34">
        <v>6000</v>
      </c>
      <c r="AC257" s="35">
        <v>6200</v>
      </c>
      <c r="AD257" s="36"/>
    </row>
    <row r="258" spans="1:30" ht="16.5" customHeight="1" x14ac:dyDescent="0.25">
      <c r="A258" s="19" t="s">
        <v>1125</v>
      </c>
      <c r="B258" s="19" t="s">
        <v>1126</v>
      </c>
      <c r="C258" s="19" t="s">
        <v>1127</v>
      </c>
      <c r="D258" s="19" t="s">
        <v>1128</v>
      </c>
      <c r="E258" s="20"/>
      <c r="F258" s="21">
        <v>3</v>
      </c>
      <c r="G258" s="22" t="s">
        <v>1129</v>
      </c>
      <c r="H258" s="23">
        <v>4500</v>
      </c>
      <c r="I258" s="24">
        <v>5000</v>
      </c>
      <c r="J258" s="23">
        <v>0</v>
      </c>
      <c r="K258" s="25">
        <f t="shared" ref="K258:K321" si="24">I258-J258</f>
        <v>5000</v>
      </c>
      <c r="L258" s="26">
        <f t="shared" ref="L258:L321" si="25">K258/H258</f>
        <v>1.1111111111111112</v>
      </c>
      <c r="M258" s="27">
        <v>0</v>
      </c>
      <c r="N258" s="28">
        <f t="shared" ref="N258:N321" si="26">I258+M258</f>
        <v>5000</v>
      </c>
      <c r="O258" s="29">
        <f t="shared" si="21"/>
        <v>5000</v>
      </c>
      <c r="P258" s="29">
        <f t="shared" si="22"/>
        <v>5000</v>
      </c>
      <c r="Q258" s="30" t="e" cm="1">
        <f t="array" aca="1" ref="Q258" ca="1">spellNumber(P258)</f>
        <v>#NAME?</v>
      </c>
      <c r="R258" s="31">
        <f t="shared" si="23"/>
        <v>5200</v>
      </c>
      <c r="S258" s="32">
        <v>0</v>
      </c>
      <c r="T258" s="32">
        <v>10000</v>
      </c>
      <c r="U258" s="32">
        <v>0</v>
      </c>
      <c r="V258" s="32">
        <v>5500</v>
      </c>
      <c r="W258" s="32">
        <v>7700</v>
      </c>
      <c r="X258" s="32">
        <v>4500</v>
      </c>
      <c r="Y258" s="32">
        <v>0</v>
      </c>
      <c r="Z258" s="32">
        <v>11500</v>
      </c>
      <c r="AA258" s="33">
        <v>0</v>
      </c>
      <c r="AB258" s="34">
        <v>13900</v>
      </c>
      <c r="AC258" s="35">
        <v>0</v>
      </c>
      <c r="AD258" s="36"/>
    </row>
    <row r="259" spans="1:30" ht="16.5" customHeight="1" x14ac:dyDescent="0.25">
      <c r="A259" s="19" t="s">
        <v>1130</v>
      </c>
      <c r="B259" s="19" t="s">
        <v>1131</v>
      </c>
      <c r="C259" s="19" t="s">
        <v>1132</v>
      </c>
      <c r="D259" s="19" t="s">
        <v>1133</v>
      </c>
      <c r="E259" s="20"/>
      <c r="F259" s="21">
        <v>3</v>
      </c>
      <c r="G259" s="22" t="s">
        <v>1134</v>
      </c>
      <c r="H259" s="23">
        <v>6000</v>
      </c>
      <c r="I259" s="24">
        <v>6000</v>
      </c>
      <c r="J259" s="23">
        <v>6000</v>
      </c>
      <c r="K259" s="25">
        <f t="shared" si="24"/>
        <v>0</v>
      </c>
      <c r="L259" s="26">
        <f t="shared" si="25"/>
        <v>0</v>
      </c>
      <c r="M259" s="27">
        <v>0</v>
      </c>
      <c r="N259" s="28">
        <f t="shared" si="26"/>
        <v>6000</v>
      </c>
      <c r="O259" s="29">
        <f t="shared" ref="O259:O322" si="27">N259/1</f>
        <v>6000</v>
      </c>
      <c r="P259" s="29">
        <f t="shared" ref="P259:P322" si="28">ROUND(O259,-2)</f>
        <v>6000</v>
      </c>
      <c r="Q259" s="30" t="e" cm="1">
        <f t="array" aca="1" ref="Q259" ca="1">spellNumber(P259)</f>
        <v>#NAME?</v>
      </c>
      <c r="R259" s="31">
        <f t="shared" ref="R259:R322" si="29">P259+200</f>
        <v>6200</v>
      </c>
      <c r="S259" s="32">
        <v>12000</v>
      </c>
      <c r="T259" s="32">
        <v>0</v>
      </c>
      <c r="U259" s="32">
        <v>6000</v>
      </c>
      <c r="V259" s="32">
        <v>0</v>
      </c>
      <c r="W259" s="32">
        <v>12000</v>
      </c>
      <c r="X259" s="32">
        <v>6000</v>
      </c>
      <c r="Y259" s="32">
        <v>6000</v>
      </c>
      <c r="Z259" s="32">
        <v>0</v>
      </c>
      <c r="AA259" s="33">
        <v>10000</v>
      </c>
      <c r="AB259" s="34">
        <v>0</v>
      </c>
      <c r="AC259" s="35">
        <v>6000</v>
      </c>
      <c r="AD259" s="36"/>
    </row>
    <row r="260" spans="1:30" ht="16.5" customHeight="1" x14ac:dyDescent="0.25">
      <c r="A260" s="19" t="s">
        <v>1135</v>
      </c>
      <c r="B260" s="19" t="s">
        <v>707</v>
      </c>
      <c r="C260" s="19" t="s">
        <v>707</v>
      </c>
      <c r="D260" s="19" t="s">
        <v>707</v>
      </c>
      <c r="E260" s="20"/>
      <c r="F260" s="21">
        <v>0</v>
      </c>
      <c r="G260" s="49" t="s">
        <v>1136</v>
      </c>
      <c r="H260" s="23">
        <v>0</v>
      </c>
      <c r="I260" s="24">
        <v>0</v>
      </c>
      <c r="J260" s="23">
        <v>0</v>
      </c>
      <c r="K260" s="25">
        <f t="shared" si="24"/>
        <v>0</v>
      </c>
      <c r="L260" s="26" t="e">
        <f t="shared" si="25"/>
        <v>#DIV/0!</v>
      </c>
      <c r="M260" s="27">
        <v>0</v>
      </c>
      <c r="N260" s="28">
        <f t="shared" si="26"/>
        <v>0</v>
      </c>
      <c r="O260" s="29">
        <f t="shared" si="27"/>
        <v>0</v>
      </c>
      <c r="P260" s="29">
        <f t="shared" si="28"/>
        <v>0</v>
      </c>
      <c r="Q260" s="30" t="e" cm="1">
        <f t="array" aca="1" ref="Q260" ca="1">spellNumber(P260)</f>
        <v>#NAME?</v>
      </c>
      <c r="R260" s="31">
        <f t="shared" si="29"/>
        <v>200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32">
        <v>0</v>
      </c>
      <c r="Z260" s="32">
        <v>0</v>
      </c>
      <c r="AA260" s="33">
        <v>0</v>
      </c>
      <c r="AB260" s="34">
        <v>0</v>
      </c>
      <c r="AC260" s="35">
        <v>0</v>
      </c>
      <c r="AD260" s="36"/>
    </row>
    <row r="261" spans="1:30" ht="16.5" customHeight="1" x14ac:dyDescent="0.25">
      <c r="A261" s="19" t="s">
        <v>1137</v>
      </c>
      <c r="B261" s="19" t="s">
        <v>272</v>
      </c>
      <c r="C261" s="19" t="s">
        <v>1138</v>
      </c>
      <c r="D261" s="19" t="s">
        <v>1017</v>
      </c>
      <c r="E261" s="20"/>
      <c r="F261" s="21">
        <v>1</v>
      </c>
      <c r="G261" s="47" t="s">
        <v>1139</v>
      </c>
      <c r="H261" s="23">
        <v>0</v>
      </c>
      <c r="I261" s="24">
        <v>2300</v>
      </c>
      <c r="J261" s="23">
        <v>2300</v>
      </c>
      <c r="K261" s="25">
        <f t="shared" si="24"/>
        <v>0</v>
      </c>
      <c r="L261" s="26" t="e">
        <f t="shared" si="25"/>
        <v>#DIV/0!</v>
      </c>
      <c r="M261" s="27">
        <v>0</v>
      </c>
      <c r="N261" s="28">
        <f t="shared" si="26"/>
        <v>2300</v>
      </c>
      <c r="O261" s="29">
        <f t="shared" si="27"/>
        <v>2300</v>
      </c>
      <c r="P261" s="29">
        <f t="shared" si="28"/>
        <v>2300</v>
      </c>
      <c r="Q261" s="30" t="e" cm="1">
        <f t="array" aca="1" ref="Q261" ca="1">spellNumber(P261)</f>
        <v>#NAME?</v>
      </c>
      <c r="R261" s="31">
        <f t="shared" si="29"/>
        <v>2500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  <c r="X261" s="32">
        <v>0</v>
      </c>
      <c r="Y261" s="32">
        <v>0</v>
      </c>
      <c r="Z261" s="32">
        <v>0</v>
      </c>
      <c r="AA261" s="33">
        <v>700</v>
      </c>
      <c r="AB261" s="34">
        <v>0</v>
      </c>
      <c r="AC261" s="35">
        <v>0</v>
      </c>
      <c r="AD261" s="36"/>
    </row>
    <row r="262" spans="1:30" ht="16.5" customHeight="1" x14ac:dyDescent="0.25">
      <c r="A262" s="19" t="s">
        <v>1140</v>
      </c>
      <c r="B262" s="19" t="s">
        <v>1141</v>
      </c>
      <c r="C262" s="19" t="s">
        <v>1142</v>
      </c>
      <c r="D262" s="19" t="s">
        <v>1017</v>
      </c>
      <c r="E262" s="20"/>
      <c r="F262" s="21">
        <v>1</v>
      </c>
      <c r="G262" s="47" t="s">
        <v>1143</v>
      </c>
      <c r="H262" s="23">
        <v>2300</v>
      </c>
      <c r="I262" s="24">
        <v>19000</v>
      </c>
      <c r="J262" s="23">
        <v>0</v>
      </c>
      <c r="K262" s="25">
        <f t="shared" si="24"/>
        <v>19000</v>
      </c>
      <c r="L262" s="26">
        <f t="shared" si="25"/>
        <v>8.2608695652173907</v>
      </c>
      <c r="M262" s="27">
        <v>0</v>
      </c>
      <c r="N262" s="28">
        <f t="shared" si="26"/>
        <v>19000</v>
      </c>
      <c r="O262" s="29">
        <f t="shared" si="27"/>
        <v>19000</v>
      </c>
      <c r="P262" s="29">
        <f t="shared" si="28"/>
        <v>19000</v>
      </c>
      <c r="Q262" s="30" t="e" cm="1">
        <f t="array" aca="1" ref="Q262" ca="1">spellNumber(P262)</f>
        <v>#NAME?</v>
      </c>
      <c r="R262" s="31">
        <f t="shared" si="29"/>
        <v>19200</v>
      </c>
      <c r="S262" s="32">
        <v>0</v>
      </c>
      <c r="T262" s="32">
        <v>0</v>
      </c>
      <c r="U262" s="32">
        <v>10000</v>
      </c>
      <c r="V262" s="32">
        <v>0</v>
      </c>
      <c r="W262" s="32">
        <v>0</v>
      </c>
      <c r="X262" s="32">
        <v>0</v>
      </c>
      <c r="Y262" s="32">
        <v>0</v>
      </c>
      <c r="Z262" s="32">
        <v>0</v>
      </c>
      <c r="AA262" s="33">
        <v>6000</v>
      </c>
      <c r="AB262" s="34">
        <v>0</v>
      </c>
      <c r="AC262" s="35">
        <v>0</v>
      </c>
      <c r="AD262" s="36"/>
    </row>
    <row r="263" spans="1:30" ht="16.5" customHeight="1" x14ac:dyDescent="0.25">
      <c r="A263" s="19" t="s">
        <v>1144</v>
      </c>
      <c r="B263" s="19" t="s">
        <v>1145</v>
      </c>
      <c r="C263" s="19" t="s">
        <v>1146</v>
      </c>
      <c r="D263" s="19" t="s">
        <v>1082</v>
      </c>
      <c r="E263" s="20"/>
      <c r="F263" s="21">
        <v>2</v>
      </c>
      <c r="G263" s="22" t="s">
        <v>1147</v>
      </c>
      <c r="H263" s="23">
        <v>3800</v>
      </c>
      <c r="I263" s="24">
        <v>3800</v>
      </c>
      <c r="J263" s="23">
        <v>3800</v>
      </c>
      <c r="K263" s="25">
        <f t="shared" si="24"/>
        <v>0</v>
      </c>
      <c r="L263" s="26">
        <f t="shared" si="25"/>
        <v>0</v>
      </c>
      <c r="M263" s="27">
        <v>0</v>
      </c>
      <c r="N263" s="28">
        <f t="shared" si="26"/>
        <v>3800</v>
      </c>
      <c r="O263" s="29">
        <f t="shared" si="27"/>
        <v>3800</v>
      </c>
      <c r="P263" s="29">
        <f t="shared" si="28"/>
        <v>3800</v>
      </c>
      <c r="Q263" s="30" t="e" cm="1">
        <f t="array" aca="1" ref="Q263" ca="1">spellNumber(P263)</f>
        <v>#NAME?</v>
      </c>
      <c r="R263" s="31">
        <f t="shared" si="29"/>
        <v>4000</v>
      </c>
      <c r="S263" s="32">
        <v>8800</v>
      </c>
      <c r="T263" s="32">
        <v>3800</v>
      </c>
      <c r="U263" s="32">
        <v>3800</v>
      </c>
      <c r="V263" s="32">
        <v>3800</v>
      </c>
      <c r="W263" s="32">
        <v>3800</v>
      </c>
      <c r="X263" s="32">
        <v>3800</v>
      </c>
      <c r="Y263" s="32">
        <v>3800</v>
      </c>
      <c r="Z263" s="32">
        <v>3800</v>
      </c>
      <c r="AA263" s="33">
        <v>3800</v>
      </c>
      <c r="AB263" s="34">
        <v>3800</v>
      </c>
      <c r="AC263" s="35">
        <v>3800</v>
      </c>
      <c r="AD263" s="36"/>
    </row>
    <row r="264" spans="1:30" ht="16.5" customHeight="1" x14ac:dyDescent="0.25">
      <c r="A264" s="19" t="s">
        <v>1148</v>
      </c>
      <c r="B264" s="19" t="s">
        <v>1149</v>
      </c>
      <c r="C264" s="19" t="s">
        <v>1150</v>
      </c>
      <c r="D264" s="19" t="s">
        <v>1151</v>
      </c>
      <c r="E264" s="20"/>
      <c r="F264" s="21">
        <v>3</v>
      </c>
      <c r="G264" s="47" t="s">
        <v>1152</v>
      </c>
      <c r="H264" s="23">
        <v>4000</v>
      </c>
      <c r="I264" s="24">
        <v>4400</v>
      </c>
      <c r="J264" s="23">
        <v>4400</v>
      </c>
      <c r="K264" s="25">
        <f t="shared" si="24"/>
        <v>0</v>
      </c>
      <c r="L264" s="26">
        <f t="shared" si="25"/>
        <v>0</v>
      </c>
      <c r="M264" s="27">
        <v>0</v>
      </c>
      <c r="N264" s="28">
        <f t="shared" si="26"/>
        <v>4400</v>
      </c>
      <c r="O264" s="29">
        <f t="shared" si="27"/>
        <v>4400</v>
      </c>
      <c r="P264" s="29">
        <f t="shared" si="28"/>
        <v>4400</v>
      </c>
      <c r="Q264" s="30" t="e" cm="1">
        <f t="array" aca="1" ref="Q264" ca="1">spellNumber(P264)</f>
        <v>#NAME?</v>
      </c>
      <c r="R264" s="31">
        <f t="shared" si="29"/>
        <v>4600</v>
      </c>
      <c r="S264" s="32">
        <v>5000</v>
      </c>
      <c r="T264" s="32">
        <v>4000</v>
      </c>
      <c r="U264" s="32">
        <v>4000</v>
      </c>
      <c r="V264" s="32">
        <v>4000</v>
      </c>
      <c r="W264" s="32">
        <v>4000</v>
      </c>
      <c r="X264" s="32">
        <v>4000</v>
      </c>
      <c r="Y264" s="32">
        <v>4000</v>
      </c>
      <c r="Z264" s="32">
        <v>4400</v>
      </c>
      <c r="AA264" s="33">
        <v>4400</v>
      </c>
      <c r="AB264" s="34">
        <v>4400</v>
      </c>
      <c r="AC264" s="35">
        <v>4400</v>
      </c>
      <c r="AD264" s="36"/>
    </row>
    <row r="265" spans="1:30" ht="16.5" customHeight="1" x14ac:dyDescent="0.25">
      <c r="A265" s="19" t="s">
        <v>1153</v>
      </c>
      <c r="B265" s="19" t="s">
        <v>1154</v>
      </c>
      <c r="C265" s="19" t="s">
        <v>1155</v>
      </c>
      <c r="D265" s="19" t="s">
        <v>1156</v>
      </c>
      <c r="E265" s="20"/>
      <c r="F265" s="21">
        <v>1</v>
      </c>
      <c r="G265" s="22" t="s">
        <v>1157</v>
      </c>
      <c r="H265" s="23">
        <v>0</v>
      </c>
      <c r="I265" s="24">
        <v>0</v>
      </c>
      <c r="J265" s="23">
        <v>0</v>
      </c>
      <c r="K265" s="25">
        <f t="shared" si="24"/>
        <v>0</v>
      </c>
      <c r="L265" s="26" t="e">
        <f t="shared" si="25"/>
        <v>#DIV/0!</v>
      </c>
      <c r="M265" s="27">
        <v>0</v>
      </c>
      <c r="N265" s="28">
        <f t="shared" si="26"/>
        <v>0</v>
      </c>
      <c r="O265" s="29">
        <f t="shared" si="27"/>
        <v>0</v>
      </c>
      <c r="P265" s="29">
        <f t="shared" si="28"/>
        <v>0</v>
      </c>
      <c r="Q265" s="30" t="e" cm="1">
        <f t="array" aca="1" ref="Q265" ca="1">spellNumber(P265)</f>
        <v>#NAME?</v>
      </c>
      <c r="R265" s="31">
        <f t="shared" si="29"/>
        <v>200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  <c r="X265" s="32">
        <v>0</v>
      </c>
      <c r="Y265" s="32">
        <v>0</v>
      </c>
      <c r="Z265" s="32">
        <v>0</v>
      </c>
      <c r="AA265" s="33">
        <v>0</v>
      </c>
      <c r="AB265" s="34">
        <v>0</v>
      </c>
      <c r="AC265" s="35">
        <v>0</v>
      </c>
      <c r="AD265" s="36"/>
    </row>
    <row r="266" spans="1:30" ht="16.5" customHeight="1" x14ac:dyDescent="0.25">
      <c r="A266" s="19" t="s">
        <v>1158</v>
      </c>
      <c r="B266" s="19" t="s">
        <v>1159</v>
      </c>
      <c r="C266" s="19" t="s">
        <v>150</v>
      </c>
      <c r="D266" s="19" t="s">
        <v>1160</v>
      </c>
      <c r="E266" s="20"/>
      <c r="F266" s="21">
        <v>2</v>
      </c>
      <c r="G266" s="22" t="s">
        <v>1161</v>
      </c>
      <c r="H266" s="23">
        <v>3600</v>
      </c>
      <c r="I266" s="24">
        <v>7200</v>
      </c>
      <c r="J266" s="23">
        <v>3600</v>
      </c>
      <c r="K266" s="25">
        <f t="shared" si="24"/>
        <v>3600</v>
      </c>
      <c r="L266" s="26">
        <f t="shared" si="25"/>
        <v>1</v>
      </c>
      <c r="M266" s="27">
        <v>0</v>
      </c>
      <c r="N266" s="28">
        <f t="shared" si="26"/>
        <v>7200</v>
      </c>
      <c r="O266" s="29">
        <f t="shared" si="27"/>
        <v>7200</v>
      </c>
      <c r="P266" s="29">
        <f t="shared" si="28"/>
        <v>7200</v>
      </c>
      <c r="Q266" s="30" t="e" cm="1">
        <f t="array" aca="1" ref="Q266" ca="1">spellNumber(P266)</f>
        <v>#NAME?</v>
      </c>
      <c r="R266" s="31">
        <f t="shared" si="29"/>
        <v>7400</v>
      </c>
      <c r="S266" s="32">
        <v>7000</v>
      </c>
      <c r="T266" s="32">
        <v>3600</v>
      </c>
      <c r="U266" s="32">
        <v>4000</v>
      </c>
      <c r="V266" s="32">
        <v>3200</v>
      </c>
      <c r="W266" s="32">
        <v>3600</v>
      </c>
      <c r="X266" s="32">
        <v>3600</v>
      </c>
      <c r="Y266" s="32">
        <v>3600</v>
      </c>
      <c r="Z266" s="32">
        <v>3600</v>
      </c>
      <c r="AA266" s="33">
        <v>0</v>
      </c>
      <c r="AB266" s="34">
        <v>3600</v>
      </c>
      <c r="AC266" s="35">
        <v>3600</v>
      </c>
      <c r="AD266" s="36"/>
    </row>
    <row r="267" spans="1:30" ht="16.5" customHeight="1" x14ac:dyDescent="0.25">
      <c r="A267" s="19" t="s">
        <v>1162</v>
      </c>
      <c r="B267" s="19" t="s">
        <v>1163</v>
      </c>
      <c r="C267" s="19" t="s">
        <v>1164</v>
      </c>
      <c r="D267" s="19" t="s">
        <v>1031</v>
      </c>
      <c r="E267" s="20"/>
      <c r="F267" s="21">
        <v>2</v>
      </c>
      <c r="G267" s="22" t="s">
        <v>1165</v>
      </c>
      <c r="H267" s="23">
        <v>4000</v>
      </c>
      <c r="I267" s="24">
        <v>8000</v>
      </c>
      <c r="J267" s="23">
        <v>8000</v>
      </c>
      <c r="K267" s="25">
        <f t="shared" si="24"/>
        <v>0</v>
      </c>
      <c r="L267" s="26">
        <f t="shared" si="25"/>
        <v>0</v>
      </c>
      <c r="M267" s="27">
        <v>0</v>
      </c>
      <c r="N267" s="28">
        <f t="shared" si="26"/>
        <v>8000</v>
      </c>
      <c r="O267" s="29">
        <f t="shared" si="27"/>
        <v>8000</v>
      </c>
      <c r="P267" s="29">
        <f t="shared" si="28"/>
        <v>8000</v>
      </c>
      <c r="Q267" s="30" t="e" cm="1">
        <f t="array" aca="1" ref="Q267" ca="1">spellNumber(P267)</f>
        <v>#NAME?</v>
      </c>
      <c r="R267" s="31">
        <f t="shared" si="29"/>
        <v>8200</v>
      </c>
      <c r="S267" s="32">
        <v>13800</v>
      </c>
      <c r="T267" s="32">
        <v>4000</v>
      </c>
      <c r="U267" s="32">
        <v>4000</v>
      </c>
      <c r="V267" s="32">
        <v>4000</v>
      </c>
      <c r="W267" s="32">
        <v>4000</v>
      </c>
      <c r="X267" s="32">
        <v>4000</v>
      </c>
      <c r="Y267" s="32">
        <v>4000</v>
      </c>
      <c r="Z267" s="32">
        <v>4000</v>
      </c>
      <c r="AA267" s="33">
        <v>4000</v>
      </c>
      <c r="AB267" s="34">
        <v>4000</v>
      </c>
      <c r="AC267" s="35">
        <v>0</v>
      </c>
      <c r="AD267" s="36"/>
    </row>
    <row r="268" spans="1:30" ht="16.5" customHeight="1" x14ac:dyDescent="0.25">
      <c r="A268" s="19" t="s">
        <v>1166</v>
      </c>
      <c r="B268" s="19" t="s">
        <v>1167</v>
      </c>
      <c r="C268" s="19" t="s">
        <v>1127</v>
      </c>
      <c r="D268" s="19" t="s">
        <v>1168</v>
      </c>
      <c r="E268" s="20" t="s">
        <v>34</v>
      </c>
      <c r="F268" s="21">
        <v>3</v>
      </c>
      <c r="G268" s="22" t="s">
        <v>1169</v>
      </c>
      <c r="H268" s="23">
        <v>6000</v>
      </c>
      <c r="I268" s="24">
        <v>9000</v>
      </c>
      <c r="J268" s="23">
        <v>9000</v>
      </c>
      <c r="K268" s="25">
        <f t="shared" si="24"/>
        <v>0</v>
      </c>
      <c r="L268" s="26">
        <f t="shared" si="25"/>
        <v>0</v>
      </c>
      <c r="M268" s="27">
        <v>0</v>
      </c>
      <c r="N268" s="28">
        <f t="shared" si="26"/>
        <v>9000</v>
      </c>
      <c r="O268" s="29">
        <f t="shared" si="27"/>
        <v>9000</v>
      </c>
      <c r="P268" s="29">
        <f t="shared" si="28"/>
        <v>9000</v>
      </c>
      <c r="Q268" s="30" t="e" cm="1">
        <f t="array" aca="1" ref="Q268" ca="1">spellNumber(P268)</f>
        <v>#NAME?</v>
      </c>
      <c r="R268" s="31">
        <f t="shared" si="29"/>
        <v>9200</v>
      </c>
      <c r="S268" s="32">
        <v>0</v>
      </c>
      <c r="T268" s="32">
        <v>0</v>
      </c>
      <c r="U268" s="32">
        <v>0</v>
      </c>
      <c r="V268" s="32">
        <v>0</v>
      </c>
      <c r="W268" s="32">
        <v>20000</v>
      </c>
      <c r="X268" s="32">
        <v>0</v>
      </c>
      <c r="Y268" s="32">
        <v>8000</v>
      </c>
      <c r="Z268" s="32">
        <v>8000</v>
      </c>
      <c r="AA268" s="33">
        <v>8000</v>
      </c>
      <c r="AB268" s="34">
        <v>9000</v>
      </c>
      <c r="AC268" s="35">
        <v>8000</v>
      </c>
      <c r="AD268" s="36"/>
    </row>
    <row r="269" spans="1:30" ht="16.5" customHeight="1" x14ac:dyDescent="0.25">
      <c r="A269" s="19" t="s">
        <v>1170</v>
      </c>
      <c r="B269" s="19" t="s">
        <v>605</v>
      </c>
      <c r="C269" s="19" t="s">
        <v>1171</v>
      </c>
      <c r="D269" s="19" t="s">
        <v>1073</v>
      </c>
      <c r="E269" s="20"/>
      <c r="F269" s="21">
        <v>1</v>
      </c>
      <c r="G269" s="22" t="s">
        <v>1172</v>
      </c>
      <c r="H269" s="23">
        <v>1600</v>
      </c>
      <c r="I269" s="24">
        <v>1800</v>
      </c>
      <c r="J269" s="23">
        <v>0</v>
      </c>
      <c r="K269" s="25">
        <f t="shared" si="24"/>
        <v>1800</v>
      </c>
      <c r="L269" s="26">
        <f t="shared" si="25"/>
        <v>1.125</v>
      </c>
      <c r="M269" s="27">
        <v>0</v>
      </c>
      <c r="N269" s="28">
        <f t="shared" si="26"/>
        <v>1800</v>
      </c>
      <c r="O269" s="29">
        <f t="shared" si="27"/>
        <v>1800</v>
      </c>
      <c r="P269" s="29">
        <f t="shared" si="28"/>
        <v>1800</v>
      </c>
      <c r="Q269" s="30" t="e" cm="1">
        <f t="array" aca="1" ref="Q269" ca="1">spellNumber(P269)</f>
        <v>#NAME?</v>
      </c>
      <c r="R269" s="31">
        <f t="shared" si="29"/>
        <v>2000</v>
      </c>
      <c r="S269" s="32">
        <v>4900</v>
      </c>
      <c r="T269" s="32">
        <v>1600</v>
      </c>
      <c r="U269" s="32">
        <v>1600</v>
      </c>
      <c r="V269" s="32">
        <v>1600</v>
      </c>
      <c r="W269" s="32">
        <v>1600</v>
      </c>
      <c r="X269" s="32">
        <v>1600</v>
      </c>
      <c r="Y269" s="32">
        <v>1600</v>
      </c>
      <c r="Z269" s="32">
        <v>0</v>
      </c>
      <c r="AA269" s="33">
        <v>2200</v>
      </c>
      <c r="AB269" s="34">
        <v>0</v>
      </c>
      <c r="AC269" s="35">
        <v>4000</v>
      </c>
      <c r="AD269" s="36"/>
    </row>
    <row r="270" spans="1:30" ht="16.5" customHeight="1" x14ac:dyDescent="0.25">
      <c r="A270" s="19" t="s">
        <v>1173</v>
      </c>
      <c r="B270" s="19" t="s">
        <v>1174</v>
      </c>
      <c r="C270" s="19" t="s">
        <v>1175</v>
      </c>
      <c r="D270" s="19" t="s">
        <v>282</v>
      </c>
      <c r="E270" s="20" t="s">
        <v>40</v>
      </c>
      <c r="F270" s="21">
        <v>1</v>
      </c>
      <c r="G270" s="22" t="s">
        <v>1176</v>
      </c>
      <c r="H270" s="23">
        <v>3000</v>
      </c>
      <c r="I270" s="24">
        <v>3000</v>
      </c>
      <c r="J270" s="23">
        <v>3000</v>
      </c>
      <c r="K270" s="25">
        <f t="shared" si="24"/>
        <v>0</v>
      </c>
      <c r="L270" s="26">
        <f t="shared" si="25"/>
        <v>0</v>
      </c>
      <c r="M270" s="27">
        <v>0</v>
      </c>
      <c r="N270" s="28">
        <f t="shared" si="26"/>
        <v>3000</v>
      </c>
      <c r="O270" s="29">
        <f t="shared" si="27"/>
        <v>3000</v>
      </c>
      <c r="P270" s="29">
        <f t="shared" si="28"/>
        <v>3000</v>
      </c>
      <c r="Q270" s="30" t="e" cm="1">
        <f t="array" aca="1" ref="Q270" ca="1">spellNumber(P270)</f>
        <v>#NAME?</v>
      </c>
      <c r="R270" s="31">
        <f t="shared" si="29"/>
        <v>3200</v>
      </c>
      <c r="S270" s="32">
        <v>0</v>
      </c>
      <c r="T270" s="32">
        <v>6000</v>
      </c>
      <c r="U270" s="32">
        <v>3000</v>
      </c>
      <c r="V270" s="32">
        <v>3000</v>
      </c>
      <c r="W270" s="32">
        <v>3000</v>
      </c>
      <c r="X270" s="32">
        <v>3000</v>
      </c>
      <c r="Y270" s="32">
        <v>3000</v>
      </c>
      <c r="Z270" s="32">
        <v>3000</v>
      </c>
      <c r="AA270" s="33">
        <v>3000</v>
      </c>
      <c r="AB270" s="34">
        <v>3000</v>
      </c>
      <c r="AC270" s="35">
        <v>3000</v>
      </c>
      <c r="AD270" s="36"/>
    </row>
    <row r="271" spans="1:30" ht="16.5" customHeight="1" x14ac:dyDescent="0.25">
      <c r="A271" s="19" t="s">
        <v>1177</v>
      </c>
      <c r="B271" s="19" t="s">
        <v>1178</v>
      </c>
      <c r="C271" s="19" t="s">
        <v>1179</v>
      </c>
      <c r="D271" s="19" t="s">
        <v>282</v>
      </c>
      <c r="E271" s="20" t="s">
        <v>34</v>
      </c>
      <c r="F271" s="21">
        <v>1</v>
      </c>
      <c r="G271" s="22" t="s">
        <v>1180</v>
      </c>
      <c r="H271" s="23">
        <v>2200</v>
      </c>
      <c r="I271" s="24">
        <v>6600</v>
      </c>
      <c r="J271" s="23">
        <v>0</v>
      </c>
      <c r="K271" s="25">
        <f t="shared" si="24"/>
        <v>6600</v>
      </c>
      <c r="L271" s="26">
        <f t="shared" si="25"/>
        <v>3</v>
      </c>
      <c r="M271" s="27">
        <v>0</v>
      </c>
      <c r="N271" s="28">
        <f t="shared" si="26"/>
        <v>6600</v>
      </c>
      <c r="O271" s="29">
        <f t="shared" si="27"/>
        <v>6600</v>
      </c>
      <c r="P271" s="29">
        <f t="shared" si="28"/>
        <v>6600</v>
      </c>
      <c r="Q271" s="30" t="e" cm="1">
        <f t="array" aca="1" ref="Q271" ca="1">spellNumber(P271)</f>
        <v>#NAME?</v>
      </c>
      <c r="R271" s="31">
        <f t="shared" si="29"/>
        <v>6800</v>
      </c>
      <c r="S271" s="32">
        <v>0</v>
      </c>
      <c r="T271" s="32">
        <v>4000</v>
      </c>
      <c r="U271" s="32">
        <v>3000</v>
      </c>
      <c r="V271" s="32">
        <v>2500</v>
      </c>
      <c r="W271" s="32">
        <v>2200</v>
      </c>
      <c r="X271" s="32">
        <v>2300</v>
      </c>
      <c r="Y271" s="32">
        <v>2200</v>
      </c>
      <c r="Z271" s="32">
        <v>2200</v>
      </c>
      <c r="AA271" s="33">
        <v>2200</v>
      </c>
      <c r="AB271" s="34">
        <v>0</v>
      </c>
      <c r="AC271" s="35">
        <v>0</v>
      </c>
      <c r="AD271" s="36"/>
    </row>
    <row r="272" spans="1:30" ht="16.5" customHeight="1" x14ac:dyDescent="0.25">
      <c r="A272" s="19" t="s">
        <v>1181</v>
      </c>
      <c r="B272" s="19" t="s">
        <v>1182</v>
      </c>
      <c r="C272" s="19" t="s">
        <v>512</v>
      </c>
      <c r="D272" s="19" t="s">
        <v>1183</v>
      </c>
      <c r="E272" s="20"/>
      <c r="F272" s="21">
        <v>2</v>
      </c>
      <c r="G272" s="22" t="s">
        <v>1184</v>
      </c>
      <c r="H272" s="23">
        <v>3800</v>
      </c>
      <c r="I272" s="24">
        <v>14600</v>
      </c>
      <c r="J272" s="23">
        <v>5000</v>
      </c>
      <c r="K272" s="25">
        <f t="shared" si="24"/>
        <v>9600</v>
      </c>
      <c r="L272" s="26">
        <f t="shared" si="25"/>
        <v>2.5263157894736841</v>
      </c>
      <c r="M272" s="27">
        <v>0</v>
      </c>
      <c r="N272" s="28">
        <f t="shared" si="26"/>
        <v>14600</v>
      </c>
      <c r="O272" s="29">
        <f t="shared" si="27"/>
        <v>14600</v>
      </c>
      <c r="P272" s="29">
        <f t="shared" si="28"/>
        <v>14600</v>
      </c>
      <c r="Q272" s="30" t="e" cm="1">
        <f t="array" aca="1" ref="Q272" ca="1">spellNumber(P272)</f>
        <v>#NAME?</v>
      </c>
      <c r="R272" s="31">
        <f t="shared" si="29"/>
        <v>14800</v>
      </c>
      <c r="S272" s="32">
        <v>10000</v>
      </c>
      <c r="T272" s="32">
        <v>0</v>
      </c>
      <c r="U272" s="32">
        <v>0</v>
      </c>
      <c r="V272" s="32">
        <v>10000</v>
      </c>
      <c r="W272" s="32">
        <v>0</v>
      </c>
      <c r="X272" s="32">
        <v>5000</v>
      </c>
      <c r="Y272" s="32">
        <v>5000</v>
      </c>
      <c r="Z272" s="32">
        <v>0</v>
      </c>
      <c r="AA272" s="33">
        <v>10000</v>
      </c>
      <c r="AB272" s="34">
        <v>0</v>
      </c>
      <c r="AC272" s="35">
        <v>10000</v>
      </c>
      <c r="AD272" s="36"/>
    </row>
    <row r="273" spans="1:30" ht="16.5" customHeight="1" x14ac:dyDescent="0.25">
      <c r="A273" s="19" t="s">
        <v>1185</v>
      </c>
      <c r="B273" s="19" t="s">
        <v>1186</v>
      </c>
      <c r="C273" s="19" t="s">
        <v>1187</v>
      </c>
      <c r="D273" s="19" t="s">
        <v>282</v>
      </c>
      <c r="E273" s="20" t="s">
        <v>34</v>
      </c>
      <c r="F273" s="21">
        <v>1</v>
      </c>
      <c r="G273" s="22" t="s">
        <v>1188</v>
      </c>
      <c r="H273" s="23">
        <v>3600</v>
      </c>
      <c r="I273" s="24">
        <v>3500</v>
      </c>
      <c r="J273" s="23">
        <v>3500</v>
      </c>
      <c r="K273" s="25">
        <f t="shared" si="24"/>
        <v>0</v>
      </c>
      <c r="L273" s="26">
        <f t="shared" si="25"/>
        <v>0</v>
      </c>
      <c r="M273" s="27">
        <v>0</v>
      </c>
      <c r="N273" s="28">
        <f t="shared" si="26"/>
        <v>3500</v>
      </c>
      <c r="O273" s="29">
        <f t="shared" si="27"/>
        <v>3500</v>
      </c>
      <c r="P273" s="29">
        <f t="shared" si="28"/>
        <v>3500</v>
      </c>
      <c r="Q273" s="30" t="e" cm="1">
        <f t="array" aca="1" ref="Q273" ca="1">spellNumber(P273)</f>
        <v>#NAME?</v>
      </c>
      <c r="R273" s="31">
        <f t="shared" si="29"/>
        <v>3700</v>
      </c>
      <c r="S273" s="32">
        <v>0</v>
      </c>
      <c r="T273" s="32">
        <v>0</v>
      </c>
      <c r="U273" s="32">
        <v>7600</v>
      </c>
      <c r="V273" s="32">
        <v>0</v>
      </c>
      <c r="W273" s="32">
        <v>7200</v>
      </c>
      <c r="X273" s="32">
        <v>0</v>
      </c>
      <c r="Y273" s="32">
        <v>7200</v>
      </c>
      <c r="Z273" s="32">
        <v>3600</v>
      </c>
      <c r="AA273" s="33">
        <v>3800</v>
      </c>
      <c r="AB273" s="34">
        <v>3600</v>
      </c>
      <c r="AC273" s="35">
        <v>3500</v>
      </c>
      <c r="AD273" s="36"/>
    </row>
    <row r="274" spans="1:30" ht="16.5" customHeight="1" x14ac:dyDescent="0.25">
      <c r="A274" s="19" t="s">
        <v>1189</v>
      </c>
      <c r="B274" s="19" t="s">
        <v>1190</v>
      </c>
      <c r="C274" s="19" t="s">
        <v>451</v>
      </c>
      <c r="D274" s="19" t="s">
        <v>1183</v>
      </c>
      <c r="E274" s="20"/>
      <c r="F274" s="21">
        <v>2</v>
      </c>
      <c r="G274" s="47" t="s">
        <v>1191</v>
      </c>
      <c r="H274" s="23">
        <v>3700</v>
      </c>
      <c r="I274" s="24">
        <v>4040</v>
      </c>
      <c r="J274" s="23">
        <v>4040</v>
      </c>
      <c r="K274" s="25">
        <f t="shared" si="24"/>
        <v>0</v>
      </c>
      <c r="L274" s="26">
        <f t="shared" si="25"/>
        <v>0</v>
      </c>
      <c r="M274" s="27">
        <v>0</v>
      </c>
      <c r="N274" s="28">
        <f t="shared" si="26"/>
        <v>4040</v>
      </c>
      <c r="O274" s="29">
        <f t="shared" si="27"/>
        <v>4040</v>
      </c>
      <c r="P274" s="29">
        <f t="shared" si="28"/>
        <v>4000</v>
      </c>
      <c r="Q274" s="30" t="e" cm="1">
        <f t="array" aca="1" ref="Q274" ca="1">spellNumber(P274)</f>
        <v>#NAME?</v>
      </c>
      <c r="R274" s="31">
        <f t="shared" si="29"/>
        <v>4200</v>
      </c>
      <c r="S274" s="32">
        <v>4000</v>
      </c>
      <c r="T274" s="32">
        <v>4000</v>
      </c>
      <c r="U274" s="32">
        <v>4000</v>
      </c>
      <c r="V274" s="32">
        <v>4000</v>
      </c>
      <c r="W274" s="32">
        <v>4000</v>
      </c>
      <c r="X274" s="32">
        <v>4000</v>
      </c>
      <c r="Y274" s="32">
        <v>4000</v>
      </c>
      <c r="Z274" s="32">
        <v>4080</v>
      </c>
      <c r="AA274" s="33">
        <v>4080</v>
      </c>
      <c r="AB274" s="34">
        <v>4100</v>
      </c>
      <c r="AC274" s="35">
        <v>4100</v>
      </c>
      <c r="AD274" s="36"/>
    </row>
    <row r="275" spans="1:30" ht="16.5" customHeight="1" x14ac:dyDescent="0.25">
      <c r="A275" s="19" t="s">
        <v>1192</v>
      </c>
      <c r="B275" s="19" t="s">
        <v>861</v>
      </c>
      <c r="C275" s="19" t="s">
        <v>1193</v>
      </c>
      <c r="D275" s="19" t="s">
        <v>282</v>
      </c>
      <c r="E275" s="20" t="s">
        <v>34</v>
      </c>
      <c r="F275" s="21">
        <v>1</v>
      </c>
      <c r="G275" s="22" t="s">
        <v>1194</v>
      </c>
      <c r="H275" s="23">
        <v>3000</v>
      </c>
      <c r="I275" s="24">
        <v>19000</v>
      </c>
      <c r="J275" s="23">
        <v>0</v>
      </c>
      <c r="K275" s="25">
        <f t="shared" si="24"/>
        <v>19000</v>
      </c>
      <c r="L275" s="26">
        <f t="shared" si="25"/>
        <v>6.333333333333333</v>
      </c>
      <c r="M275" s="27">
        <v>0</v>
      </c>
      <c r="N275" s="28">
        <f t="shared" si="26"/>
        <v>19000</v>
      </c>
      <c r="O275" s="29">
        <f t="shared" si="27"/>
        <v>19000</v>
      </c>
      <c r="P275" s="29">
        <f t="shared" si="28"/>
        <v>19000</v>
      </c>
      <c r="Q275" s="30" t="e" cm="1">
        <f t="array" aca="1" ref="Q275" ca="1">spellNumber(P275)</f>
        <v>#NAME?</v>
      </c>
      <c r="R275" s="31">
        <f t="shared" si="29"/>
        <v>19200</v>
      </c>
      <c r="S275" s="32">
        <v>0</v>
      </c>
      <c r="T275" s="32">
        <v>0</v>
      </c>
      <c r="U275" s="32">
        <v>0</v>
      </c>
      <c r="V275" s="32">
        <v>10000</v>
      </c>
      <c r="W275" s="32">
        <v>0</v>
      </c>
      <c r="X275" s="32">
        <v>0</v>
      </c>
      <c r="Y275" s="32">
        <v>15000</v>
      </c>
      <c r="Z275" s="32">
        <v>9000</v>
      </c>
      <c r="AA275" s="33">
        <v>0</v>
      </c>
      <c r="AB275" s="34">
        <v>0</v>
      </c>
      <c r="AC275" s="35">
        <v>0</v>
      </c>
      <c r="AD275" s="36"/>
    </row>
    <row r="276" spans="1:30" ht="16.5" customHeight="1" x14ac:dyDescent="0.25">
      <c r="A276" s="19" t="s">
        <v>1195</v>
      </c>
      <c r="B276" s="19" t="s">
        <v>1196</v>
      </c>
      <c r="C276" s="19" t="s">
        <v>1197</v>
      </c>
      <c r="D276" s="19" t="s">
        <v>1073</v>
      </c>
      <c r="E276" s="20"/>
      <c r="F276" s="21">
        <v>1</v>
      </c>
      <c r="G276" s="22" t="s">
        <v>1078</v>
      </c>
      <c r="H276" s="23">
        <v>2200</v>
      </c>
      <c r="I276" s="24">
        <v>2185</v>
      </c>
      <c r="J276" s="23">
        <v>0</v>
      </c>
      <c r="K276" s="25">
        <f t="shared" si="24"/>
        <v>2185</v>
      </c>
      <c r="L276" s="26">
        <f t="shared" si="25"/>
        <v>0.99318181818181817</v>
      </c>
      <c r="M276" s="27">
        <v>0</v>
      </c>
      <c r="N276" s="28">
        <f t="shared" si="26"/>
        <v>2185</v>
      </c>
      <c r="O276" s="29">
        <f t="shared" si="27"/>
        <v>2185</v>
      </c>
      <c r="P276" s="29">
        <f t="shared" si="28"/>
        <v>2200</v>
      </c>
      <c r="Q276" s="30" t="e" cm="1">
        <f t="array" aca="1" ref="Q276" ca="1">spellNumber(P276)</f>
        <v>#NAME?</v>
      </c>
      <c r="R276" s="31">
        <f t="shared" si="29"/>
        <v>2400</v>
      </c>
      <c r="S276" s="32">
        <v>4000</v>
      </c>
      <c r="T276" s="32">
        <v>2100</v>
      </c>
      <c r="U276" s="32">
        <v>2700</v>
      </c>
      <c r="V276" s="32">
        <v>2100</v>
      </c>
      <c r="W276" s="32">
        <v>2200</v>
      </c>
      <c r="X276" s="32">
        <v>2100</v>
      </c>
      <c r="Y276" s="32">
        <v>2100</v>
      </c>
      <c r="Z276" s="32">
        <v>2020</v>
      </c>
      <c r="AA276" s="33">
        <v>2095</v>
      </c>
      <c r="AB276" s="34">
        <v>2100</v>
      </c>
      <c r="AC276" s="35">
        <v>2100</v>
      </c>
      <c r="AD276" s="36"/>
    </row>
    <row r="277" spans="1:30" ht="16.5" customHeight="1" x14ac:dyDescent="0.25">
      <c r="A277" s="19" t="s">
        <v>1198</v>
      </c>
      <c r="B277" s="19" t="s">
        <v>163</v>
      </c>
      <c r="C277" s="19" t="s">
        <v>1199</v>
      </c>
      <c r="D277" s="19" t="s">
        <v>1073</v>
      </c>
      <c r="E277" s="20"/>
      <c r="F277" s="21">
        <v>1</v>
      </c>
      <c r="G277" s="47" t="s">
        <v>1200</v>
      </c>
      <c r="H277" s="23">
        <v>1800</v>
      </c>
      <c r="I277" s="24">
        <v>1800</v>
      </c>
      <c r="J277" s="23">
        <v>1800</v>
      </c>
      <c r="K277" s="25">
        <f t="shared" si="24"/>
        <v>0</v>
      </c>
      <c r="L277" s="26">
        <f t="shared" si="25"/>
        <v>0</v>
      </c>
      <c r="M277" s="27">
        <v>0</v>
      </c>
      <c r="N277" s="28">
        <f t="shared" si="26"/>
        <v>1800</v>
      </c>
      <c r="O277" s="29">
        <f t="shared" si="27"/>
        <v>1800</v>
      </c>
      <c r="P277" s="29">
        <f t="shared" si="28"/>
        <v>1800</v>
      </c>
      <c r="Q277" s="30" t="e" cm="1">
        <f t="array" aca="1" ref="Q277" ca="1">spellNumber(P277)</f>
        <v>#NAME?</v>
      </c>
      <c r="R277" s="31">
        <f t="shared" si="29"/>
        <v>2000</v>
      </c>
      <c r="S277" s="32">
        <v>3300</v>
      </c>
      <c r="T277" s="32">
        <v>1800</v>
      </c>
      <c r="U277" s="32">
        <v>1800</v>
      </c>
      <c r="V277" s="32">
        <v>1800</v>
      </c>
      <c r="W277" s="32">
        <v>1800</v>
      </c>
      <c r="X277" s="32">
        <v>1800</v>
      </c>
      <c r="Y277" s="32">
        <v>1800</v>
      </c>
      <c r="Z277" s="32">
        <v>1800</v>
      </c>
      <c r="AA277" s="33">
        <v>1800</v>
      </c>
      <c r="AB277" s="34">
        <v>1800</v>
      </c>
      <c r="AC277" s="35">
        <v>1800</v>
      </c>
      <c r="AD277" s="36"/>
    </row>
    <row r="278" spans="1:30" ht="16.5" customHeight="1" x14ac:dyDescent="0.25">
      <c r="A278" s="19" t="s">
        <v>1201</v>
      </c>
      <c r="B278" s="19" t="s">
        <v>1202</v>
      </c>
      <c r="C278" s="19" t="s">
        <v>816</v>
      </c>
      <c r="D278" s="19" t="s">
        <v>1073</v>
      </c>
      <c r="E278" s="20"/>
      <c r="F278" s="21">
        <v>1</v>
      </c>
      <c r="G278" s="22" t="s">
        <v>1203</v>
      </c>
      <c r="H278" s="23">
        <v>1700</v>
      </c>
      <c r="I278" s="24">
        <v>1700</v>
      </c>
      <c r="J278" s="23">
        <v>0</v>
      </c>
      <c r="K278" s="25">
        <f t="shared" si="24"/>
        <v>1700</v>
      </c>
      <c r="L278" s="26">
        <f t="shared" si="25"/>
        <v>1</v>
      </c>
      <c r="M278" s="27">
        <v>0</v>
      </c>
      <c r="N278" s="28">
        <f t="shared" si="26"/>
        <v>1700</v>
      </c>
      <c r="O278" s="29">
        <f t="shared" si="27"/>
        <v>1700</v>
      </c>
      <c r="P278" s="29">
        <f t="shared" si="28"/>
        <v>1700</v>
      </c>
      <c r="Q278" s="30" t="e" cm="1">
        <f t="array" aca="1" ref="Q278" ca="1">spellNumber(P278)</f>
        <v>#NAME?</v>
      </c>
      <c r="R278" s="31">
        <f t="shared" si="29"/>
        <v>1900</v>
      </c>
      <c r="S278" s="32">
        <v>2000</v>
      </c>
      <c r="T278" s="32">
        <v>3400</v>
      </c>
      <c r="U278" s="32">
        <v>0</v>
      </c>
      <c r="V278" s="32">
        <v>3400</v>
      </c>
      <c r="W278" s="32">
        <v>0</v>
      </c>
      <c r="X278" s="32">
        <v>3400</v>
      </c>
      <c r="Y278" s="32">
        <v>0</v>
      </c>
      <c r="Z278" s="32">
        <v>3400</v>
      </c>
      <c r="AA278" s="33">
        <v>1700</v>
      </c>
      <c r="AB278" s="34">
        <v>0</v>
      </c>
      <c r="AC278" s="35">
        <v>3400</v>
      </c>
      <c r="AD278" s="36"/>
    </row>
    <row r="279" spans="1:30" ht="16.5" customHeight="1" x14ac:dyDescent="0.25">
      <c r="A279" s="19" t="s">
        <v>1204</v>
      </c>
      <c r="B279" s="19" t="s">
        <v>1205</v>
      </c>
      <c r="C279" s="19" t="s">
        <v>1206</v>
      </c>
      <c r="D279" s="19" t="s">
        <v>1073</v>
      </c>
      <c r="E279" s="20"/>
      <c r="F279" s="21">
        <v>1</v>
      </c>
      <c r="G279" s="47" t="s">
        <v>1207</v>
      </c>
      <c r="H279" s="23">
        <v>2200</v>
      </c>
      <c r="I279" s="24">
        <v>4400</v>
      </c>
      <c r="J279" s="23">
        <v>4400</v>
      </c>
      <c r="K279" s="25">
        <f t="shared" si="24"/>
        <v>0</v>
      </c>
      <c r="L279" s="26">
        <f t="shared" si="25"/>
        <v>0</v>
      </c>
      <c r="M279" s="27">
        <v>0</v>
      </c>
      <c r="N279" s="28">
        <f t="shared" si="26"/>
        <v>4400</v>
      </c>
      <c r="O279" s="29">
        <f t="shared" si="27"/>
        <v>4400</v>
      </c>
      <c r="P279" s="29">
        <f t="shared" si="28"/>
        <v>4400</v>
      </c>
      <c r="Q279" s="30" t="e" cm="1">
        <f t="array" aca="1" ref="Q279" ca="1">spellNumber(P279)</f>
        <v>#NAME?</v>
      </c>
      <c r="R279" s="31">
        <f t="shared" si="29"/>
        <v>4600</v>
      </c>
      <c r="S279" s="32">
        <v>4700</v>
      </c>
      <c r="T279" s="32">
        <v>2200</v>
      </c>
      <c r="U279" s="32">
        <v>0</v>
      </c>
      <c r="V279" s="32">
        <v>0</v>
      </c>
      <c r="W279" s="32">
        <v>0</v>
      </c>
      <c r="X279" s="32">
        <v>8800</v>
      </c>
      <c r="Y279" s="32">
        <v>2200</v>
      </c>
      <c r="Z279" s="32">
        <v>2200</v>
      </c>
      <c r="AA279" s="33">
        <v>0</v>
      </c>
      <c r="AB279" s="34">
        <v>0</v>
      </c>
      <c r="AC279" s="35">
        <v>4400</v>
      </c>
      <c r="AD279" s="36"/>
    </row>
    <row r="280" spans="1:30" ht="16.5" customHeight="1" x14ac:dyDescent="0.25">
      <c r="A280" s="19" t="s">
        <v>1208</v>
      </c>
      <c r="B280" s="19" t="s">
        <v>1209</v>
      </c>
      <c r="C280" s="19" t="s">
        <v>1210</v>
      </c>
      <c r="D280" s="19" t="s">
        <v>1073</v>
      </c>
      <c r="E280" s="20"/>
      <c r="F280" s="21">
        <v>1</v>
      </c>
      <c r="G280" s="50" t="s">
        <v>1211</v>
      </c>
      <c r="H280" s="23">
        <v>2000</v>
      </c>
      <c r="I280" s="24">
        <v>2200</v>
      </c>
      <c r="J280" s="23">
        <v>2000</v>
      </c>
      <c r="K280" s="25">
        <f t="shared" si="24"/>
        <v>200</v>
      </c>
      <c r="L280" s="26">
        <f t="shared" si="25"/>
        <v>0.1</v>
      </c>
      <c r="M280" s="27">
        <v>0</v>
      </c>
      <c r="N280" s="28">
        <f t="shared" si="26"/>
        <v>2200</v>
      </c>
      <c r="O280" s="29">
        <f t="shared" si="27"/>
        <v>2200</v>
      </c>
      <c r="P280" s="29">
        <f t="shared" si="28"/>
        <v>2200</v>
      </c>
      <c r="Q280" s="30" t="e" cm="1">
        <f t="array" aca="1" ref="Q280" ca="1">spellNumber(P280)</f>
        <v>#NAME?</v>
      </c>
      <c r="R280" s="31">
        <f t="shared" si="29"/>
        <v>2400</v>
      </c>
      <c r="S280" s="32">
        <v>4000</v>
      </c>
      <c r="T280" s="32">
        <v>2000</v>
      </c>
      <c r="U280" s="32">
        <v>0</v>
      </c>
      <c r="V280" s="32">
        <v>2000</v>
      </c>
      <c r="W280" s="32">
        <v>0</v>
      </c>
      <c r="X280" s="32">
        <v>4000</v>
      </c>
      <c r="Y280" s="32">
        <v>2000</v>
      </c>
      <c r="Z280" s="32">
        <v>2000</v>
      </c>
      <c r="AA280" s="33">
        <v>2000</v>
      </c>
      <c r="AB280" s="34">
        <v>1900</v>
      </c>
      <c r="AC280" s="35">
        <v>1900</v>
      </c>
      <c r="AD280" s="36"/>
    </row>
    <row r="281" spans="1:30" ht="16.5" customHeight="1" x14ac:dyDescent="0.25">
      <c r="A281" s="19" t="s">
        <v>1212</v>
      </c>
      <c r="B281" s="19" t="s">
        <v>1213</v>
      </c>
      <c r="C281" s="19" t="s">
        <v>691</v>
      </c>
      <c r="D281" s="19" t="s">
        <v>1073</v>
      </c>
      <c r="E281" s="20"/>
      <c r="F281" s="21">
        <v>1</v>
      </c>
      <c r="G281" s="47" t="s">
        <v>1214</v>
      </c>
      <c r="H281" s="23">
        <v>1800</v>
      </c>
      <c r="I281" s="24">
        <v>2580</v>
      </c>
      <c r="J281" s="23">
        <v>0</v>
      </c>
      <c r="K281" s="25">
        <f t="shared" si="24"/>
        <v>2580</v>
      </c>
      <c r="L281" s="26">
        <f t="shared" si="25"/>
        <v>1.4333333333333333</v>
      </c>
      <c r="M281" s="27">
        <v>0</v>
      </c>
      <c r="N281" s="28">
        <f t="shared" si="26"/>
        <v>2580</v>
      </c>
      <c r="O281" s="29">
        <f t="shared" si="27"/>
        <v>2580</v>
      </c>
      <c r="P281" s="29">
        <f t="shared" si="28"/>
        <v>2600</v>
      </c>
      <c r="Q281" s="30" t="e" cm="1">
        <f t="array" aca="1" ref="Q281" ca="1">spellNumber(P281)</f>
        <v>#NAME?</v>
      </c>
      <c r="R281" s="31">
        <f t="shared" si="29"/>
        <v>2800</v>
      </c>
      <c r="S281" s="32">
        <v>0</v>
      </c>
      <c r="T281" s="32">
        <v>0</v>
      </c>
      <c r="U281" s="32">
        <v>3000</v>
      </c>
      <c r="V281" s="32">
        <v>2000</v>
      </c>
      <c r="W281" s="32">
        <v>0</v>
      </c>
      <c r="X281" s="32">
        <v>3000</v>
      </c>
      <c r="Y281" s="32">
        <v>3000</v>
      </c>
      <c r="Z281" s="32">
        <v>2860</v>
      </c>
      <c r="AA281" s="33">
        <v>2860</v>
      </c>
      <c r="AB281" s="34">
        <v>3000</v>
      </c>
      <c r="AC281" s="35">
        <v>3000</v>
      </c>
      <c r="AD281" s="36"/>
    </row>
    <row r="282" spans="1:30" ht="16.5" customHeight="1" x14ac:dyDescent="0.25">
      <c r="A282" s="19" t="s">
        <v>1215</v>
      </c>
      <c r="B282" s="19" t="s">
        <v>1216</v>
      </c>
      <c r="C282" s="19" t="s">
        <v>1217</v>
      </c>
      <c r="D282" s="19" t="s">
        <v>1218</v>
      </c>
      <c r="E282" s="20"/>
      <c r="F282" s="21">
        <v>2</v>
      </c>
      <c r="G282" s="47" t="s">
        <v>1219</v>
      </c>
      <c r="H282" s="23">
        <v>4000</v>
      </c>
      <c r="I282" s="24">
        <v>8400</v>
      </c>
      <c r="J282" s="23">
        <v>5600</v>
      </c>
      <c r="K282" s="25">
        <f t="shared" si="24"/>
        <v>2800</v>
      </c>
      <c r="L282" s="26">
        <f t="shared" si="25"/>
        <v>0.7</v>
      </c>
      <c r="M282" s="27">
        <v>0</v>
      </c>
      <c r="N282" s="28">
        <f t="shared" si="26"/>
        <v>8400</v>
      </c>
      <c r="O282" s="29">
        <f t="shared" si="27"/>
        <v>8400</v>
      </c>
      <c r="P282" s="29">
        <f t="shared" si="28"/>
        <v>8400</v>
      </c>
      <c r="Q282" s="30" t="e" cm="1">
        <f t="array" aca="1" ref="Q282" ca="1">spellNumber(P282)</f>
        <v>#NAME?</v>
      </c>
      <c r="R282" s="31">
        <f t="shared" si="29"/>
        <v>8600</v>
      </c>
      <c r="S282" s="32">
        <v>4000</v>
      </c>
      <c r="T282" s="32">
        <v>0</v>
      </c>
      <c r="U282" s="32">
        <v>0</v>
      </c>
      <c r="V282" s="32">
        <v>6000</v>
      </c>
      <c r="W282" s="32">
        <v>14000</v>
      </c>
      <c r="X282" s="32">
        <v>0</v>
      </c>
      <c r="Y282" s="32">
        <v>0</v>
      </c>
      <c r="Z282" s="32">
        <v>5600</v>
      </c>
      <c r="AA282" s="33">
        <v>5600</v>
      </c>
      <c r="AB282" s="34">
        <v>0</v>
      </c>
      <c r="AC282" s="35">
        <v>8400</v>
      </c>
      <c r="AD282" s="36"/>
    </row>
    <row r="283" spans="1:30" ht="16.5" customHeight="1" x14ac:dyDescent="0.25">
      <c r="A283" s="19" t="s">
        <v>1220</v>
      </c>
      <c r="B283" s="19" t="s">
        <v>1221</v>
      </c>
      <c r="C283" s="19" t="s">
        <v>819</v>
      </c>
      <c r="D283" s="19" t="s">
        <v>1222</v>
      </c>
      <c r="E283" s="20"/>
      <c r="F283" s="21">
        <v>2</v>
      </c>
      <c r="G283" s="22" t="s">
        <v>1223</v>
      </c>
      <c r="H283" s="23">
        <v>3800</v>
      </c>
      <c r="I283" s="24">
        <v>3800</v>
      </c>
      <c r="J283" s="23">
        <v>0</v>
      </c>
      <c r="K283" s="25">
        <f t="shared" si="24"/>
        <v>3800</v>
      </c>
      <c r="L283" s="26">
        <f t="shared" si="25"/>
        <v>1</v>
      </c>
      <c r="M283" s="27">
        <v>0</v>
      </c>
      <c r="N283" s="28">
        <f t="shared" si="26"/>
        <v>3800</v>
      </c>
      <c r="O283" s="29">
        <f t="shared" si="27"/>
        <v>3800</v>
      </c>
      <c r="P283" s="29">
        <f t="shared" si="28"/>
        <v>3800</v>
      </c>
      <c r="Q283" s="30" t="e" cm="1">
        <f t="array" aca="1" ref="Q283" ca="1">spellNumber(P283)</f>
        <v>#NAME?</v>
      </c>
      <c r="R283" s="31">
        <f t="shared" si="29"/>
        <v>4000</v>
      </c>
      <c r="S283" s="32">
        <v>5000</v>
      </c>
      <c r="T283" s="32">
        <v>6600</v>
      </c>
      <c r="U283" s="32">
        <v>3800</v>
      </c>
      <c r="V283" s="32">
        <v>3800</v>
      </c>
      <c r="W283" s="32">
        <v>3800</v>
      </c>
      <c r="X283" s="32">
        <v>3800</v>
      </c>
      <c r="Y283" s="32">
        <v>3800</v>
      </c>
      <c r="Z283" s="32">
        <v>3800</v>
      </c>
      <c r="AA283" s="33">
        <v>3800</v>
      </c>
      <c r="AB283" s="34">
        <v>3800</v>
      </c>
      <c r="AC283" s="35">
        <v>3800</v>
      </c>
      <c r="AD283" s="36"/>
    </row>
    <row r="284" spans="1:30" ht="16.5" customHeight="1" x14ac:dyDescent="0.25">
      <c r="A284" s="19" t="s">
        <v>1224</v>
      </c>
      <c r="B284" s="19" t="s">
        <v>1225</v>
      </c>
      <c r="C284" s="19" t="s">
        <v>1226</v>
      </c>
      <c r="D284" s="19" t="s">
        <v>1222</v>
      </c>
      <c r="E284" s="20"/>
      <c r="F284" s="21">
        <v>2</v>
      </c>
      <c r="G284" s="22" t="s">
        <v>1227</v>
      </c>
      <c r="H284" s="23">
        <v>3600</v>
      </c>
      <c r="I284" s="24">
        <v>7600</v>
      </c>
      <c r="J284" s="23">
        <v>3600</v>
      </c>
      <c r="K284" s="37">
        <f t="shared" si="24"/>
        <v>4000</v>
      </c>
      <c r="L284" s="38">
        <f t="shared" si="25"/>
        <v>1.1111111111111112</v>
      </c>
      <c r="M284" s="27">
        <v>0</v>
      </c>
      <c r="N284" s="28">
        <f t="shared" si="26"/>
        <v>7600</v>
      </c>
      <c r="O284" s="29">
        <f t="shared" si="27"/>
        <v>7600</v>
      </c>
      <c r="P284" s="29">
        <f t="shared" si="28"/>
        <v>7600</v>
      </c>
      <c r="Q284" s="30" t="e" cm="1">
        <f t="array" aca="1" ref="Q284" ca="1">spellNumber(P284)</f>
        <v>#NAME?</v>
      </c>
      <c r="R284" s="31">
        <f t="shared" si="29"/>
        <v>7800</v>
      </c>
      <c r="S284" s="32">
        <v>8600</v>
      </c>
      <c r="T284" s="32">
        <v>0</v>
      </c>
      <c r="U284" s="32">
        <v>7200</v>
      </c>
      <c r="V284" s="32">
        <v>0</v>
      </c>
      <c r="W284" s="32">
        <v>0</v>
      </c>
      <c r="X284" s="32">
        <v>6000</v>
      </c>
      <c r="Y284" s="32">
        <v>8400</v>
      </c>
      <c r="Z284" s="32">
        <v>3600</v>
      </c>
      <c r="AA284" s="33">
        <v>3600</v>
      </c>
      <c r="AB284" s="34">
        <v>3600</v>
      </c>
      <c r="AC284" s="35">
        <v>3600</v>
      </c>
      <c r="AD284" s="36"/>
    </row>
    <row r="285" spans="1:30" ht="16.5" customHeight="1" x14ac:dyDescent="0.25">
      <c r="A285" s="19" t="s">
        <v>1228</v>
      </c>
      <c r="B285" s="19" t="s">
        <v>1229</v>
      </c>
      <c r="C285" s="19" t="s">
        <v>1230</v>
      </c>
      <c r="D285" s="19" t="s">
        <v>83</v>
      </c>
      <c r="E285" s="20" t="s">
        <v>34</v>
      </c>
      <c r="F285" s="21">
        <v>1</v>
      </c>
      <c r="G285" s="22" t="s">
        <v>1231</v>
      </c>
      <c r="H285" s="23">
        <v>3300</v>
      </c>
      <c r="I285" s="24">
        <v>6550</v>
      </c>
      <c r="J285" s="23">
        <v>0</v>
      </c>
      <c r="K285" s="25">
        <f t="shared" si="24"/>
        <v>6550</v>
      </c>
      <c r="L285" s="39">
        <f t="shared" si="25"/>
        <v>1.9848484848484849</v>
      </c>
      <c r="M285" s="27">
        <v>0</v>
      </c>
      <c r="N285" s="28">
        <f t="shared" si="26"/>
        <v>6550</v>
      </c>
      <c r="O285" s="29">
        <f t="shared" si="27"/>
        <v>6550</v>
      </c>
      <c r="P285" s="29">
        <f t="shared" si="28"/>
        <v>6600</v>
      </c>
      <c r="Q285" s="30" t="e" cm="1">
        <f t="array" aca="1" ref="Q285" ca="1">spellNumber(P285)</f>
        <v>#NAME?</v>
      </c>
      <c r="R285" s="31">
        <f t="shared" si="29"/>
        <v>6800</v>
      </c>
      <c r="S285" s="32">
        <v>0</v>
      </c>
      <c r="T285" s="32">
        <v>0</v>
      </c>
      <c r="U285" s="32">
        <v>13900</v>
      </c>
      <c r="V285" s="32">
        <v>0</v>
      </c>
      <c r="W285" s="32">
        <v>6600</v>
      </c>
      <c r="X285" s="32">
        <v>0</v>
      </c>
      <c r="Y285" s="32">
        <v>3850</v>
      </c>
      <c r="Z285" s="32">
        <v>3850</v>
      </c>
      <c r="AA285" s="33">
        <v>3850</v>
      </c>
      <c r="AB285" s="34">
        <v>0</v>
      </c>
      <c r="AC285" s="35">
        <v>5000</v>
      </c>
      <c r="AD285" s="36"/>
    </row>
    <row r="286" spans="1:30" ht="16.5" customHeight="1" x14ac:dyDescent="0.25">
      <c r="A286" s="19" t="s">
        <v>1232</v>
      </c>
      <c r="B286" s="19" t="s">
        <v>1233</v>
      </c>
      <c r="C286" s="19" t="s">
        <v>1234</v>
      </c>
      <c r="D286" s="19" t="s">
        <v>1073</v>
      </c>
      <c r="E286" s="20"/>
      <c r="F286" s="21">
        <v>1</v>
      </c>
      <c r="G286" s="22" t="s">
        <v>1235</v>
      </c>
      <c r="H286" s="23">
        <v>2300</v>
      </c>
      <c r="I286" s="24">
        <v>1300</v>
      </c>
      <c r="J286" s="23">
        <v>1300</v>
      </c>
      <c r="K286" s="43">
        <f t="shared" si="24"/>
        <v>0</v>
      </c>
      <c r="L286" s="44">
        <f t="shared" si="25"/>
        <v>0</v>
      </c>
      <c r="M286" s="27">
        <v>0</v>
      </c>
      <c r="N286" s="28">
        <f t="shared" si="26"/>
        <v>1300</v>
      </c>
      <c r="O286" s="29">
        <f t="shared" si="27"/>
        <v>1300</v>
      </c>
      <c r="P286" s="29">
        <f t="shared" si="28"/>
        <v>1300</v>
      </c>
      <c r="Q286" s="30" t="e" cm="1">
        <f t="array" aca="1" ref="Q286" ca="1">spellNumber(P286)</f>
        <v>#NAME?</v>
      </c>
      <c r="R286" s="31">
        <f t="shared" si="29"/>
        <v>1500</v>
      </c>
      <c r="S286" s="32">
        <v>0</v>
      </c>
      <c r="T286" s="32">
        <v>11100</v>
      </c>
      <c r="U286" s="32">
        <v>2300</v>
      </c>
      <c r="V286" s="32">
        <v>2300</v>
      </c>
      <c r="W286" s="32">
        <v>0</v>
      </c>
      <c r="X286" s="32">
        <v>4600</v>
      </c>
      <c r="Y286" s="32">
        <v>2300</v>
      </c>
      <c r="Z286" s="32">
        <v>2300</v>
      </c>
      <c r="AA286" s="33">
        <v>2300</v>
      </c>
      <c r="AB286" s="34">
        <v>2300</v>
      </c>
      <c r="AC286" s="35">
        <v>3300</v>
      </c>
      <c r="AD286" s="36"/>
    </row>
    <row r="287" spans="1:30" ht="16.5" customHeight="1" x14ac:dyDescent="0.25">
      <c r="A287" s="19" t="s">
        <v>1236</v>
      </c>
      <c r="B287" s="19" t="s">
        <v>1237</v>
      </c>
      <c r="C287" s="19" t="s">
        <v>1238</v>
      </c>
      <c r="D287" s="19" t="s">
        <v>1239</v>
      </c>
      <c r="E287" s="20" t="s">
        <v>40</v>
      </c>
      <c r="F287" s="21">
        <v>2</v>
      </c>
      <c r="G287" s="22" t="s">
        <v>1240</v>
      </c>
      <c r="H287" s="23">
        <v>6000</v>
      </c>
      <c r="I287" s="24">
        <v>6000</v>
      </c>
      <c r="J287" s="23">
        <v>6000</v>
      </c>
      <c r="K287" s="25">
        <f t="shared" si="24"/>
        <v>0</v>
      </c>
      <c r="L287" s="39">
        <f t="shared" si="25"/>
        <v>0</v>
      </c>
      <c r="M287" s="27">
        <v>0</v>
      </c>
      <c r="N287" s="28">
        <f t="shared" si="26"/>
        <v>6000</v>
      </c>
      <c r="O287" s="29">
        <f t="shared" si="27"/>
        <v>6000</v>
      </c>
      <c r="P287" s="29">
        <f t="shared" si="28"/>
        <v>6000</v>
      </c>
      <c r="Q287" s="30" t="e" cm="1">
        <f t="array" aca="1" ref="Q287" ca="1">spellNumber(P287)</f>
        <v>#NAME?</v>
      </c>
      <c r="R287" s="31">
        <f t="shared" si="29"/>
        <v>6200</v>
      </c>
      <c r="S287" s="32">
        <v>0</v>
      </c>
      <c r="T287" s="32">
        <v>10000</v>
      </c>
      <c r="U287" s="32">
        <v>8000</v>
      </c>
      <c r="V287" s="32">
        <v>6000</v>
      </c>
      <c r="W287" s="32">
        <v>6000</v>
      </c>
      <c r="X287" s="32">
        <v>6000</v>
      </c>
      <c r="Y287" s="32">
        <v>6000</v>
      </c>
      <c r="Z287" s="32">
        <v>6000</v>
      </c>
      <c r="AA287" s="33">
        <v>6000</v>
      </c>
      <c r="AB287" s="34">
        <v>6000</v>
      </c>
      <c r="AC287" s="35">
        <v>6000</v>
      </c>
      <c r="AD287" s="36"/>
    </row>
    <row r="288" spans="1:30" ht="16.5" customHeight="1" x14ac:dyDescent="0.25">
      <c r="A288" s="19" t="s">
        <v>1241</v>
      </c>
      <c r="B288" s="19" t="s">
        <v>1242</v>
      </c>
      <c r="C288" s="19" t="s">
        <v>737</v>
      </c>
      <c r="D288" s="19" t="s">
        <v>1073</v>
      </c>
      <c r="E288" s="20"/>
      <c r="F288" s="21">
        <v>1</v>
      </c>
      <c r="G288" s="22" t="s">
        <v>1243</v>
      </c>
      <c r="H288" s="23">
        <v>2300</v>
      </c>
      <c r="I288" s="24">
        <v>6900</v>
      </c>
      <c r="J288" s="23">
        <v>5000</v>
      </c>
      <c r="K288" s="40">
        <f t="shared" si="24"/>
        <v>1900</v>
      </c>
      <c r="L288" s="41">
        <f t="shared" si="25"/>
        <v>0.82608695652173914</v>
      </c>
      <c r="M288" s="27">
        <v>0</v>
      </c>
      <c r="N288" s="28">
        <f t="shared" si="26"/>
        <v>6900</v>
      </c>
      <c r="O288" s="29">
        <f t="shared" si="27"/>
        <v>6900</v>
      </c>
      <c r="P288" s="29">
        <f t="shared" si="28"/>
        <v>6900</v>
      </c>
      <c r="Q288" s="30" t="e" cm="1">
        <f t="array" aca="1" ref="Q288" ca="1">spellNumber(P288)</f>
        <v>#NAME?</v>
      </c>
      <c r="R288" s="31">
        <f t="shared" si="29"/>
        <v>7100</v>
      </c>
      <c r="S288" s="32">
        <v>4800</v>
      </c>
      <c r="T288" s="32">
        <v>0</v>
      </c>
      <c r="U288" s="32">
        <v>0</v>
      </c>
      <c r="V288" s="32">
        <v>4600</v>
      </c>
      <c r="W288" s="32">
        <v>0</v>
      </c>
      <c r="X288" s="32">
        <v>0</v>
      </c>
      <c r="Y288" s="32">
        <v>4600</v>
      </c>
      <c r="Z288" s="32">
        <v>0</v>
      </c>
      <c r="AA288" s="33">
        <v>4600</v>
      </c>
      <c r="AB288" s="34">
        <v>0</v>
      </c>
      <c r="AC288" s="35">
        <v>4600</v>
      </c>
      <c r="AD288" s="36"/>
    </row>
    <row r="289" spans="1:30" ht="16.5" customHeight="1" x14ac:dyDescent="0.25">
      <c r="A289" s="19" t="s">
        <v>1244</v>
      </c>
      <c r="B289" s="19" t="s">
        <v>1245</v>
      </c>
      <c r="C289" s="19" t="s">
        <v>1246</v>
      </c>
      <c r="D289" s="19" t="s">
        <v>1247</v>
      </c>
      <c r="E289" s="20"/>
      <c r="F289" s="21">
        <v>2</v>
      </c>
      <c r="G289" s="22" t="s">
        <v>1248</v>
      </c>
      <c r="H289" s="23">
        <v>4000</v>
      </c>
      <c r="I289" s="24">
        <v>7200</v>
      </c>
      <c r="J289" s="23">
        <v>7200</v>
      </c>
      <c r="K289" s="25">
        <f t="shared" si="24"/>
        <v>0</v>
      </c>
      <c r="L289" s="26">
        <f t="shared" si="25"/>
        <v>0</v>
      </c>
      <c r="M289" s="27">
        <v>0</v>
      </c>
      <c r="N289" s="28">
        <f t="shared" si="26"/>
        <v>7200</v>
      </c>
      <c r="O289" s="29">
        <f t="shared" si="27"/>
        <v>7200</v>
      </c>
      <c r="P289" s="29">
        <f t="shared" si="28"/>
        <v>7200</v>
      </c>
      <c r="Q289" s="30" t="e" cm="1">
        <f t="array" aca="1" ref="Q289" ca="1">spellNumber(P289)</f>
        <v>#NAME?</v>
      </c>
      <c r="R289" s="31">
        <f t="shared" si="29"/>
        <v>7400</v>
      </c>
      <c r="S289" s="32">
        <v>0</v>
      </c>
      <c r="T289" s="32">
        <v>0</v>
      </c>
      <c r="U289" s="32">
        <v>16000</v>
      </c>
      <c r="V289" s="32">
        <v>4000</v>
      </c>
      <c r="W289" s="32">
        <v>0</v>
      </c>
      <c r="X289" s="32">
        <v>8000</v>
      </c>
      <c r="Y289" s="32">
        <v>0</v>
      </c>
      <c r="Z289" s="32">
        <v>4800</v>
      </c>
      <c r="AA289" s="33">
        <v>4800</v>
      </c>
      <c r="AB289" s="34">
        <v>0</v>
      </c>
      <c r="AC289" s="35">
        <v>7200</v>
      </c>
      <c r="AD289" s="36"/>
    </row>
    <row r="290" spans="1:30" ht="16.5" customHeight="1" x14ac:dyDescent="0.25">
      <c r="A290" s="19" t="s">
        <v>1249</v>
      </c>
      <c r="B290" s="19" t="s">
        <v>1250</v>
      </c>
      <c r="C290" s="19" t="s">
        <v>1251</v>
      </c>
      <c r="D290" s="19" t="s">
        <v>1252</v>
      </c>
      <c r="E290" s="20"/>
      <c r="F290" s="21">
        <v>3</v>
      </c>
      <c r="G290" s="47" t="s">
        <v>494</v>
      </c>
      <c r="H290" s="23">
        <v>5000</v>
      </c>
      <c r="I290" s="24">
        <v>15000</v>
      </c>
      <c r="J290" s="23">
        <v>5000</v>
      </c>
      <c r="K290" s="25">
        <f t="shared" si="24"/>
        <v>10000</v>
      </c>
      <c r="L290" s="26">
        <f t="shared" si="25"/>
        <v>2</v>
      </c>
      <c r="M290" s="27">
        <v>0</v>
      </c>
      <c r="N290" s="28">
        <f t="shared" si="26"/>
        <v>15000</v>
      </c>
      <c r="O290" s="29">
        <f t="shared" si="27"/>
        <v>15000</v>
      </c>
      <c r="P290" s="29">
        <f t="shared" si="28"/>
        <v>15000</v>
      </c>
      <c r="Q290" s="30" t="e" cm="1">
        <f t="array" aca="1" ref="Q290" ca="1">spellNumber(P290)</f>
        <v>#NAME?</v>
      </c>
      <c r="R290" s="31">
        <f t="shared" si="29"/>
        <v>15200</v>
      </c>
      <c r="S290" s="32">
        <v>14200</v>
      </c>
      <c r="T290" s="32">
        <v>0</v>
      </c>
      <c r="U290" s="32">
        <v>10000</v>
      </c>
      <c r="V290" s="32">
        <v>0</v>
      </c>
      <c r="W290" s="32">
        <v>0</v>
      </c>
      <c r="X290" s="32">
        <v>0</v>
      </c>
      <c r="Y290" s="32">
        <v>0</v>
      </c>
      <c r="Z290" s="32">
        <v>15000</v>
      </c>
      <c r="AA290" s="33">
        <v>0</v>
      </c>
      <c r="AB290" s="34">
        <v>0</v>
      </c>
      <c r="AC290" s="35">
        <v>15000</v>
      </c>
      <c r="AD290" s="36"/>
    </row>
    <row r="291" spans="1:30" ht="16.5" customHeight="1" x14ac:dyDescent="0.25">
      <c r="A291" s="19" t="s">
        <v>1253</v>
      </c>
      <c r="B291" s="19" t="s">
        <v>1254</v>
      </c>
      <c r="C291" s="19" t="s">
        <v>497</v>
      </c>
      <c r="D291" s="19" t="s">
        <v>1222</v>
      </c>
      <c r="E291" s="20"/>
      <c r="F291" s="21">
        <v>2</v>
      </c>
      <c r="G291" s="47" t="s">
        <v>1255</v>
      </c>
      <c r="H291" s="23">
        <v>3400</v>
      </c>
      <c r="I291" s="24">
        <v>24800</v>
      </c>
      <c r="J291" s="23">
        <v>0</v>
      </c>
      <c r="K291" s="25">
        <f t="shared" si="24"/>
        <v>24800</v>
      </c>
      <c r="L291" s="26">
        <f t="shared" si="25"/>
        <v>7.2941176470588234</v>
      </c>
      <c r="M291" s="27">
        <v>0</v>
      </c>
      <c r="N291" s="28">
        <f t="shared" si="26"/>
        <v>24800</v>
      </c>
      <c r="O291" s="29">
        <f t="shared" si="27"/>
        <v>24800</v>
      </c>
      <c r="P291" s="29">
        <f t="shared" si="28"/>
        <v>24800</v>
      </c>
      <c r="Q291" s="30" t="e" cm="1">
        <f t="array" aca="1" ref="Q291" ca="1">spellNumber(P291)</f>
        <v>#NAME?</v>
      </c>
      <c r="R291" s="31">
        <f t="shared" si="29"/>
        <v>25000</v>
      </c>
      <c r="S291" s="32">
        <v>50000</v>
      </c>
      <c r="T291" s="32">
        <v>0</v>
      </c>
      <c r="U291" s="32">
        <v>0</v>
      </c>
      <c r="V291" s="32">
        <v>0</v>
      </c>
      <c r="W291" s="32">
        <v>0</v>
      </c>
      <c r="X291" s="32">
        <v>0</v>
      </c>
      <c r="Y291" s="32">
        <v>20000</v>
      </c>
      <c r="Z291" s="32">
        <v>0</v>
      </c>
      <c r="AA291" s="33">
        <v>0</v>
      </c>
      <c r="AB291" s="34">
        <v>0</v>
      </c>
      <c r="AC291" s="35">
        <v>0</v>
      </c>
      <c r="AD291" s="36"/>
    </row>
    <row r="292" spans="1:30" ht="16.5" customHeight="1" x14ac:dyDescent="0.25">
      <c r="A292" s="19" t="s">
        <v>1256</v>
      </c>
      <c r="B292" s="19" t="s">
        <v>1257</v>
      </c>
      <c r="C292" s="19" t="s">
        <v>451</v>
      </c>
      <c r="D292" s="19" t="s">
        <v>1183</v>
      </c>
      <c r="E292" s="20"/>
      <c r="F292" s="21">
        <v>2</v>
      </c>
      <c r="G292" s="22" t="s">
        <v>1258</v>
      </c>
      <c r="H292" s="23">
        <v>2400</v>
      </c>
      <c r="I292" s="24">
        <v>13320</v>
      </c>
      <c r="J292" s="23">
        <v>3000</v>
      </c>
      <c r="K292" s="25">
        <f t="shared" si="24"/>
        <v>10320</v>
      </c>
      <c r="L292" s="26">
        <f t="shared" si="25"/>
        <v>4.3</v>
      </c>
      <c r="M292" s="27">
        <v>0</v>
      </c>
      <c r="N292" s="28">
        <f t="shared" si="26"/>
        <v>13320</v>
      </c>
      <c r="O292" s="29">
        <f t="shared" si="27"/>
        <v>13320</v>
      </c>
      <c r="P292" s="29">
        <f t="shared" si="28"/>
        <v>13300</v>
      </c>
      <c r="Q292" s="30" t="e" cm="1">
        <f t="array" aca="1" ref="Q292" ca="1">spellNumber(P292)</f>
        <v>#NAME?</v>
      </c>
      <c r="R292" s="31">
        <f t="shared" si="29"/>
        <v>13500</v>
      </c>
      <c r="S292" s="32">
        <v>10000</v>
      </c>
      <c r="T292" s="32">
        <v>0</v>
      </c>
      <c r="U292" s="32">
        <v>0</v>
      </c>
      <c r="V292" s="32">
        <v>0</v>
      </c>
      <c r="W292" s="32">
        <v>0</v>
      </c>
      <c r="X292" s="32">
        <v>0</v>
      </c>
      <c r="Y292" s="32">
        <v>6670</v>
      </c>
      <c r="Z292" s="32">
        <v>6670</v>
      </c>
      <c r="AA292" s="33">
        <v>6670</v>
      </c>
      <c r="AB292" s="34">
        <v>0</v>
      </c>
      <c r="AC292" s="35">
        <v>6670</v>
      </c>
      <c r="AD292" s="36"/>
    </row>
    <row r="293" spans="1:30" ht="16.5" customHeight="1" x14ac:dyDescent="0.25">
      <c r="A293" s="19" t="s">
        <v>1259</v>
      </c>
      <c r="B293" s="19" t="s">
        <v>1260</v>
      </c>
      <c r="C293" s="19" t="s">
        <v>1261</v>
      </c>
      <c r="D293" s="19" t="s">
        <v>1222</v>
      </c>
      <c r="E293" s="20"/>
      <c r="F293" s="21">
        <v>2</v>
      </c>
      <c r="G293" s="22" t="s">
        <v>1262</v>
      </c>
      <c r="H293" s="23">
        <v>3500</v>
      </c>
      <c r="I293" s="24">
        <v>8200</v>
      </c>
      <c r="J293" s="23">
        <v>6000</v>
      </c>
      <c r="K293" s="25">
        <f t="shared" si="24"/>
        <v>2200</v>
      </c>
      <c r="L293" s="26">
        <f t="shared" si="25"/>
        <v>0.62857142857142856</v>
      </c>
      <c r="M293" s="27">
        <v>0</v>
      </c>
      <c r="N293" s="28">
        <f t="shared" si="26"/>
        <v>8200</v>
      </c>
      <c r="O293" s="29">
        <f t="shared" si="27"/>
        <v>8200</v>
      </c>
      <c r="P293" s="29">
        <f t="shared" si="28"/>
        <v>8200</v>
      </c>
      <c r="Q293" s="30" t="e" cm="1">
        <f t="array" aca="1" ref="Q293" ca="1">spellNumber(P293)</f>
        <v>#NAME?</v>
      </c>
      <c r="R293" s="31">
        <f t="shared" si="29"/>
        <v>8400</v>
      </c>
      <c r="S293" s="32">
        <v>2000</v>
      </c>
      <c r="T293" s="32">
        <v>0</v>
      </c>
      <c r="U293" s="32">
        <v>7700</v>
      </c>
      <c r="V293" s="32">
        <v>5000</v>
      </c>
      <c r="W293" s="32">
        <v>0</v>
      </c>
      <c r="X293" s="32">
        <v>5000</v>
      </c>
      <c r="Y293" s="32">
        <v>0</v>
      </c>
      <c r="Z293" s="32">
        <v>0</v>
      </c>
      <c r="AA293" s="33">
        <v>0</v>
      </c>
      <c r="AB293" s="34">
        <v>0</v>
      </c>
      <c r="AC293" s="35">
        <v>5000</v>
      </c>
      <c r="AD293" s="36"/>
    </row>
    <row r="294" spans="1:30" ht="16.5" customHeight="1" x14ac:dyDescent="0.25">
      <c r="A294" s="19" t="s">
        <v>1263</v>
      </c>
      <c r="B294" s="19" t="s">
        <v>1264</v>
      </c>
      <c r="C294" s="19" t="s">
        <v>1265</v>
      </c>
      <c r="D294" s="19" t="s">
        <v>1247</v>
      </c>
      <c r="E294" s="20"/>
      <c r="F294" s="21">
        <v>2</v>
      </c>
      <c r="G294" s="22" t="s">
        <v>1266</v>
      </c>
      <c r="H294" s="23">
        <v>4000</v>
      </c>
      <c r="I294" s="24">
        <v>4000</v>
      </c>
      <c r="J294" s="23">
        <v>4000</v>
      </c>
      <c r="K294" s="25">
        <f t="shared" si="24"/>
        <v>0</v>
      </c>
      <c r="L294" s="26">
        <f t="shared" si="25"/>
        <v>0</v>
      </c>
      <c r="M294" s="27">
        <v>0</v>
      </c>
      <c r="N294" s="28">
        <f t="shared" si="26"/>
        <v>4000</v>
      </c>
      <c r="O294" s="29">
        <f t="shared" si="27"/>
        <v>4000</v>
      </c>
      <c r="P294" s="29">
        <f t="shared" si="28"/>
        <v>4000</v>
      </c>
      <c r="Q294" s="30" t="e" cm="1">
        <f t="array" aca="1" ref="Q294" ca="1">spellNumber(P294)</f>
        <v>#NAME?</v>
      </c>
      <c r="R294" s="31">
        <f t="shared" si="29"/>
        <v>4200</v>
      </c>
      <c r="S294" s="32">
        <v>0</v>
      </c>
      <c r="T294" s="32">
        <v>7000</v>
      </c>
      <c r="U294" s="32">
        <v>5000</v>
      </c>
      <c r="V294" s="32">
        <v>5000</v>
      </c>
      <c r="W294" s="32">
        <v>5000</v>
      </c>
      <c r="X294" s="32">
        <v>5000</v>
      </c>
      <c r="Y294" s="32">
        <v>4000</v>
      </c>
      <c r="Z294" s="32">
        <v>4000</v>
      </c>
      <c r="AA294" s="33">
        <v>4000</v>
      </c>
      <c r="AB294" s="34">
        <v>4000</v>
      </c>
      <c r="AC294" s="35">
        <v>4000</v>
      </c>
      <c r="AD294" s="36"/>
    </row>
    <row r="295" spans="1:30" ht="16.5" customHeight="1" x14ac:dyDescent="0.25">
      <c r="A295" s="19" t="s">
        <v>1267</v>
      </c>
      <c r="B295" s="19" t="s">
        <v>1268</v>
      </c>
      <c r="C295" s="19" t="s">
        <v>1269</v>
      </c>
      <c r="D295" s="19" t="s">
        <v>1222</v>
      </c>
      <c r="E295" s="20"/>
      <c r="F295" s="21">
        <v>2</v>
      </c>
      <c r="G295" s="22" t="s">
        <v>1270</v>
      </c>
      <c r="H295" s="23">
        <v>3400</v>
      </c>
      <c r="I295" s="24">
        <v>0</v>
      </c>
      <c r="J295" s="23">
        <v>0</v>
      </c>
      <c r="K295" s="25">
        <f t="shared" si="24"/>
        <v>0</v>
      </c>
      <c r="L295" s="26">
        <f t="shared" si="25"/>
        <v>0</v>
      </c>
      <c r="M295" s="27">
        <v>0</v>
      </c>
      <c r="N295" s="28">
        <f t="shared" si="26"/>
        <v>0</v>
      </c>
      <c r="O295" s="29">
        <f t="shared" si="27"/>
        <v>0</v>
      </c>
      <c r="P295" s="29">
        <f t="shared" si="28"/>
        <v>0</v>
      </c>
      <c r="Q295" s="30" t="e" cm="1">
        <f t="array" aca="1" ref="Q295" ca="1">spellNumber(P295)</f>
        <v>#NAME?</v>
      </c>
      <c r="R295" s="31">
        <f t="shared" si="29"/>
        <v>200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  <c r="X295" s="32">
        <v>0</v>
      </c>
      <c r="Y295" s="32">
        <v>0</v>
      </c>
      <c r="Z295" s="32">
        <v>0</v>
      </c>
      <c r="AA295" s="33">
        <v>41000</v>
      </c>
      <c r="AB295" s="34">
        <v>0</v>
      </c>
      <c r="AC295" s="35">
        <v>0</v>
      </c>
      <c r="AD295" s="36"/>
    </row>
    <row r="296" spans="1:30" ht="16.5" customHeight="1" x14ac:dyDescent="0.25">
      <c r="A296" s="19" t="s">
        <v>1271</v>
      </c>
      <c r="B296" s="19" t="s">
        <v>1272</v>
      </c>
      <c r="C296" s="19" t="s">
        <v>1273</v>
      </c>
      <c r="D296" s="19" t="s">
        <v>1274</v>
      </c>
      <c r="E296" s="20"/>
      <c r="F296" s="21">
        <v>2</v>
      </c>
      <c r="G296" s="22" t="s">
        <v>1275</v>
      </c>
      <c r="H296" s="23">
        <v>4000</v>
      </c>
      <c r="I296" s="24">
        <v>4000</v>
      </c>
      <c r="J296" s="23">
        <v>4000</v>
      </c>
      <c r="K296" s="25">
        <f t="shared" si="24"/>
        <v>0</v>
      </c>
      <c r="L296" s="26">
        <f t="shared" si="25"/>
        <v>0</v>
      </c>
      <c r="M296" s="27">
        <v>0</v>
      </c>
      <c r="N296" s="28">
        <f t="shared" si="26"/>
        <v>4000</v>
      </c>
      <c r="O296" s="29">
        <f t="shared" si="27"/>
        <v>4000</v>
      </c>
      <c r="P296" s="29">
        <f t="shared" si="28"/>
        <v>4000</v>
      </c>
      <c r="Q296" s="30" t="e" cm="1">
        <f t="array" aca="1" ref="Q296" ca="1">spellNumber(P296)</f>
        <v>#NAME?</v>
      </c>
      <c r="R296" s="31">
        <f t="shared" si="29"/>
        <v>4200</v>
      </c>
      <c r="S296" s="32">
        <v>4700</v>
      </c>
      <c r="T296" s="32">
        <v>2000</v>
      </c>
      <c r="U296" s="32">
        <v>2400</v>
      </c>
      <c r="V296" s="32">
        <v>2200</v>
      </c>
      <c r="W296" s="32">
        <v>2200</v>
      </c>
      <c r="X296" s="32">
        <v>2200</v>
      </c>
      <c r="Y296" s="32">
        <v>7300</v>
      </c>
      <c r="Z296" s="32">
        <v>4000</v>
      </c>
      <c r="AA296" s="33">
        <v>4000</v>
      </c>
      <c r="AB296" s="34">
        <v>4000</v>
      </c>
      <c r="AC296" s="35">
        <v>0</v>
      </c>
      <c r="AD296" s="36"/>
    </row>
    <row r="297" spans="1:30" ht="16.5" customHeight="1" x14ac:dyDescent="0.25">
      <c r="A297" s="19" t="s">
        <v>1276</v>
      </c>
      <c r="B297" s="19" t="s">
        <v>1277</v>
      </c>
      <c r="C297" s="19" t="s">
        <v>1278</v>
      </c>
      <c r="D297" s="19" t="s">
        <v>1222</v>
      </c>
      <c r="E297" s="20"/>
      <c r="F297" s="21">
        <v>2</v>
      </c>
      <c r="G297" s="22" t="s">
        <v>1279</v>
      </c>
      <c r="H297" s="23">
        <v>4200</v>
      </c>
      <c r="I297" s="24">
        <v>4200</v>
      </c>
      <c r="J297" s="23">
        <v>4200</v>
      </c>
      <c r="K297" s="25">
        <f t="shared" si="24"/>
        <v>0</v>
      </c>
      <c r="L297" s="26">
        <f t="shared" si="25"/>
        <v>0</v>
      </c>
      <c r="M297" s="27">
        <v>0</v>
      </c>
      <c r="N297" s="28">
        <f t="shared" si="26"/>
        <v>4200</v>
      </c>
      <c r="O297" s="29">
        <f t="shared" si="27"/>
        <v>4200</v>
      </c>
      <c r="P297" s="29">
        <f t="shared" si="28"/>
        <v>4200</v>
      </c>
      <c r="Q297" s="30" t="e" cm="1">
        <f t="array" aca="1" ref="Q297" ca="1">spellNumber(P297)</f>
        <v>#NAME?</v>
      </c>
      <c r="R297" s="31">
        <f t="shared" si="29"/>
        <v>4400</v>
      </c>
      <c r="S297" s="32">
        <v>9200</v>
      </c>
      <c r="T297" s="32">
        <v>4200</v>
      </c>
      <c r="U297" s="32">
        <v>4200</v>
      </c>
      <c r="V297" s="32">
        <v>4200</v>
      </c>
      <c r="W297" s="32">
        <v>4200</v>
      </c>
      <c r="X297" s="32">
        <v>4200</v>
      </c>
      <c r="Y297" s="32">
        <v>4200</v>
      </c>
      <c r="Z297" s="32">
        <v>4200</v>
      </c>
      <c r="AA297" s="33">
        <v>4200</v>
      </c>
      <c r="AB297" s="34">
        <v>4200</v>
      </c>
      <c r="AC297" s="35">
        <v>0</v>
      </c>
      <c r="AD297" s="36"/>
    </row>
    <row r="298" spans="1:30" ht="16.5" customHeight="1" x14ac:dyDescent="0.25">
      <c r="A298" s="19" t="s">
        <v>1280</v>
      </c>
      <c r="B298" s="19" t="s">
        <v>1281</v>
      </c>
      <c r="C298" s="19" t="s">
        <v>1282</v>
      </c>
      <c r="D298" s="19" t="s">
        <v>1073</v>
      </c>
      <c r="E298" s="20"/>
      <c r="F298" s="21">
        <v>1</v>
      </c>
      <c r="G298" s="47" t="s">
        <v>1283</v>
      </c>
      <c r="H298" s="23">
        <v>2300</v>
      </c>
      <c r="I298" s="24">
        <v>2300</v>
      </c>
      <c r="J298" s="23">
        <v>2300</v>
      </c>
      <c r="K298" s="25">
        <f t="shared" si="24"/>
        <v>0</v>
      </c>
      <c r="L298" s="26">
        <f t="shared" si="25"/>
        <v>0</v>
      </c>
      <c r="M298" s="27">
        <v>0</v>
      </c>
      <c r="N298" s="28">
        <f t="shared" si="26"/>
        <v>2300</v>
      </c>
      <c r="O298" s="29">
        <f t="shared" si="27"/>
        <v>2300</v>
      </c>
      <c r="P298" s="29">
        <f t="shared" si="28"/>
        <v>2300</v>
      </c>
      <c r="Q298" s="30" t="e" cm="1">
        <f t="array" aca="1" ref="Q298" ca="1">spellNumber(P298)</f>
        <v>#NAME?</v>
      </c>
      <c r="R298" s="31">
        <f t="shared" si="29"/>
        <v>2500</v>
      </c>
      <c r="S298" s="32">
        <v>4300</v>
      </c>
      <c r="T298" s="32">
        <v>2300</v>
      </c>
      <c r="U298" s="32">
        <v>2300</v>
      </c>
      <c r="V298" s="32">
        <v>0</v>
      </c>
      <c r="W298" s="32">
        <v>0</v>
      </c>
      <c r="X298" s="32">
        <v>6900</v>
      </c>
      <c r="Y298" s="32">
        <v>2300</v>
      </c>
      <c r="Z298" s="32">
        <v>2300</v>
      </c>
      <c r="AA298" s="33">
        <v>2300</v>
      </c>
      <c r="AB298" s="34">
        <v>2300</v>
      </c>
      <c r="AC298" s="35">
        <v>2300</v>
      </c>
      <c r="AD298" s="36"/>
    </row>
    <row r="299" spans="1:30" ht="16.5" customHeight="1" x14ac:dyDescent="0.25">
      <c r="A299" s="19" t="s">
        <v>1284</v>
      </c>
      <c r="B299" s="19" t="s">
        <v>1285</v>
      </c>
      <c r="C299" s="19" t="s">
        <v>1286</v>
      </c>
      <c r="D299" s="19" t="s">
        <v>1287</v>
      </c>
      <c r="E299" s="20"/>
      <c r="F299" s="21">
        <v>2</v>
      </c>
      <c r="G299" s="22" t="s">
        <v>1288</v>
      </c>
      <c r="H299" s="23">
        <v>3800</v>
      </c>
      <c r="I299" s="24">
        <v>5600</v>
      </c>
      <c r="J299" s="23">
        <v>0</v>
      </c>
      <c r="K299" s="25">
        <f t="shared" si="24"/>
        <v>5600</v>
      </c>
      <c r="L299" s="26">
        <f t="shared" si="25"/>
        <v>1.4736842105263157</v>
      </c>
      <c r="M299" s="27">
        <v>0</v>
      </c>
      <c r="N299" s="28">
        <f t="shared" si="26"/>
        <v>5600</v>
      </c>
      <c r="O299" s="29">
        <f t="shared" si="27"/>
        <v>5600</v>
      </c>
      <c r="P299" s="29">
        <f t="shared" si="28"/>
        <v>5600</v>
      </c>
      <c r="Q299" s="30" t="e" cm="1">
        <f t="array" aca="1" ref="Q299" ca="1">spellNumber(P299)</f>
        <v>#NAME?</v>
      </c>
      <c r="R299" s="31">
        <f t="shared" si="29"/>
        <v>5800</v>
      </c>
      <c r="S299" s="32">
        <v>0</v>
      </c>
      <c r="T299" s="32">
        <v>7600</v>
      </c>
      <c r="U299" s="32">
        <v>4000</v>
      </c>
      <c r="V299" s="32">
        <v>0</v>
      </c>
      <c r="W299" s="32">
        <v>0</v>
      </c>
      <c r="X299" s="32">
        <v>0</v>
      </c>
      <c r="Y299" s="32">
        <v>15200</v>
      </c>
      <c r="Z299" s="32">
        <v>3800</v>
      </c>
      <c r="AA299" s="33">
        <v>7800</v>
      </c>
      <c r="AB299" s="34">
        <v>0</v>
      </c>
      <c r="AC299" s="35">
        <v>5600</v>
      </c>
      <c r="AD299" s="36"/>
    </row>
    <row r="300" spans="1:30" ht="16.5" customHeight="1" x14ac:dyDescent="0.25">
      <c r="A300" s="19" t="s">
        <v>1289</v>
      </c>
      <c r="B300" s="19" t="s">
        <v>466</v>
      </c>
      <c r="C300" s="19" t="s">
        <v>1290</v>
      </c>
      <c r="D300" s="19" t="s">
        <v>1073</v>
      </c>
      <c r="E300" s="20"/>
      <c r="F300" s="21">
        <v>1</v>
      </c>
      <c r="G300" s="22" t="s">
        <v>1291</v>
      </c>
      <c r="H300" s="23">
        <v>2000</v>
      </c>
      <c r="I300" s="24">
        <v>2000</v>
      </c>
      <c r="J300" s="23">
        <v>2000</v>
      </c>
      <c r="K300" s="25">
        <f t="shared" si="24"/>
        <v>0</v>
      </c>
      <c r="L300" s="26">
        <f t="shared" si="25"/>
        <v>0</v>
      </c>
      <c r="M300" s="27">
        <v>0</v>
      </c>
      <c r="N300" s="28">
        <f t="shared" si="26"/>
        <v>2000</v>
      </c>
      <c r="O300" s="29">
        <f t="shared" si="27"/>
        <v>2000</v>
      </c>
      <c r="P300" s="29">
        <f t="shared" si="28"/>
        <v>2000</v>
      </c>
      <c r="Q300" s="30" t="e" cm="1">
        <f t="array" aca="1" ref="Q300" ca="1">spellNumber(P300)</f>
        <v>#NAME?</v>
      </c>
      <c r="R300" s="31">
        <f t="shared" si="29"/>
        <v>2200</v>
      </c>
      <c r="S300" s="32">
        <v>0</v>
      </c>
      <c r="T300" s="32">
        <v>6000</v>
      </c>
      <c r="U300" s="32">
        <v>2000</v>
      </c>
      <c r="V300" s="32">
        <v>2000</v>
      </c>
      <c r="W300" s="32">
        <v>2000</v>
      </c>
      <c r="X300" s="32">
        <v>2000</v>
      </c>
      <c r="Y300" s="32">
        <v>2000</v>
      </c>
      <c r="Z300" s="32">
        <v>2000</v>
      </c>
      <c r="AA300" s="33">
        <v>2000</v>
      </c>
      <c r="AB300" s="34">
        <v>0</v>
      </c>
      <c r="AC300" s="35">
        <v>4000</v>
      </c>
      <c r="AD300" s="36"/>
    </row>
    <row r="301" spans="1:30" ht="16.5" customHeight="1" x14ac:dyDescent="0.25">
      <c r="A301" s="19" t="s">
        <v>1292</v>
      </c>
      <c r="B301" s="19" t="s">
        <v>1293</v>
      </c>
      <c r="C301" s="19" t="s">
        <v>1294</v>
      </c>
      <c r="D301" s="19" t="s">
        <v>1073</v>
      </c>
      <c r="E301" s="20"/>
      <c r="F301" s="21">
        <v>1</v>
      </c>
      <c r="G301" s="22" t="s">
        <v>1295</v>
      </c>
      <c r="H301" s="23">
        <v>2000</v>
      </c>
      <c r="I301" s="24">
        <v>6000</v>
      </c>
      <c r="J301" s="23">
        <v>6000</v>
      </c>
      <c r="K301" s="25">
        <f t="shared" si="24"/>
        <v>0</v>
      </c>
      <c r="L301" s="26">
        <f t="shared" si="25"/>
        <v>0</v>
      </c>
      <c r="M301" s="27">
        <v>0</v>
      </c>
      <c r="N301" s="28">
        <f t="shared" si="26"/>
        <v>6000</v>
      </c>
      <c r="O301" s="29">
        <f t="shared" si="27"/>
        <v>6000</v>
      </c>
      <c r="P301" s="29">
        <f t="shared" si="28"/>
        <v>6000</v>
      </c>
      <c r="Q301" s="30" t="e" cm="1">
        <f t="array" aca="1" ref="Q301" ca="1">spellNumber(P301)</f>
        <v>#NAME?</v>
      </c>
      <c r="R301" s="31">
        <f t="shared" si="29"/>
        <v>6200</v>
      </c>
      <c r="S301" s="32">
        <v>4000</v>
      </c>
      <c r="T301" s="32">
        <v>0</v>
      </c>
      <c r="U301" s="32">
        <v>4000</v>
      </c>
      <c r="V301" s="32">
        <v>0</v>
      </c>
      <c r="W301" s="32">
        <v>0</v>
      </c>
      <c r="X301" s="32">
        <v>6000</v>
      </c>
      <c r="Y301" s="32">
        <v>0</v>
      </c>
      <c r="Z301" s="32">
        <v>0</v>
      </c>
      <c r="AA301" s="33">
        <v>6000</v>
      </c>
      <c r="AB301" s="34">
        <v>0</v>
      </c>
      <c r="AC301" s="35">
        <v>0</v>
      </c>
      <c r="AD301" s="36"/>
    </row>
    <row r="302" spans="1:30" ht="16.5" customHeight="1" x14ac:dyDescent="0.25">
      <c r="A302" s="19" t="s">
        <v>1296</v>
      </c>
      <c r="B302" s="19" t="s">
        <v>1297</v>
      </c>
      <c r="C302" s="19" t="s">
        <v>1298</v>
      </c>
      <c r="D302" s="19" t="s">
        <v>1247</v>
      </c>
      <c r="E302" s="20"/>
      <c r="F302" s="21">
        <v>2</v>
      </c>
      <c r="G302" s="22" t="s">
        <v>1299</v>
      </c>
      <c r="H302" s="23">
        <v>4000</v>
      </c>
      <c r="I302" s="24">
        <v>4000</v>
      </c>
      <c r="J302" s="23">
        <v>4000</v>
      </c>
      <c r="K302" s="25">
        <f t="shared" si="24"/>
        <v>0</v>
      </c>
      <c r="L302" s="26">
        <f t="shared" si="25"/>
        <v>0</v>
      </c>
      <c r="M302" s="27">
        <v>0</v>
      </c>
      <c r="N302" s="28">
        <f t="shared" si="26"/>
        <v>4000</v>
      </c>
      <c r="O302" s="29">
        <f t="shared" si="27"/>
        <v>4000</v>
      </c>
      <c r="P302" s="29">
        <f t="shared" si="28"/>
        <v>4000</v>
      </c>
      <c r="Q302" s="30" t="e" cm="1">
        <f t="array" aca="1" ref="Q302" ca="1">spellNumber(P302)</f>
        <v>#NAME?</v>
      </c>
      <c r="R302" s="31">
        <f t="shared" si="29"/>
        <v>4200</v>
      </c>
      <c r="S302" s="32">
        <v>8000</v>
      </c>
      <c r="T302" s="32">
        <v>4000</v>
      </c>
      <c r="U302" s="32">
        <v>4000</v>
      </c>
      <c r="V302" s="32">
        <v>8000</v>
      </c>
      <c r="W302" s="32">
        <v>0</v>
      </c>
      <c r="X302" s="32">
        <v>4000</v>
      </c>
      <c r="Y302" s="32">
        <v>4000</v>
      </c>
      <c r="Z302" s="32">
        <v>4000</v>
      </c>
      <c r="AA302" s="33">
        <v>4000</v>
      </c>
      <c r="AB302" s="34">
        <v>4000</v>
      </c>
      <c r="AC302" s="35">
        <v>4000</v>
      </c>
      <c r="AD302" s="36"/>
    </row>
    <row r="303" spans="1:30" ht="16.5" customHeight="1" x14ac:dyDescent="0.25">
      <c r="A303" s="19" t="s">
        <v>1300</v>
      </c>
      <c r="B303" s="19" t="s">
        <v>1301</v>
      </c>
      <c r="C303" s="19" t="s">
        <v>1302</v>
      </c>
      <c r="D303" s="19" t="s">
        <v>1222</v>
      </c>
      <c r="E303" s="20"/>
      <c r="F303" s="21">
        <v>2</v>
      </c>
      <c r="G303" s="22" t="s">
        <v>1303</v>
      </c>
      <c r="H303" s="23">
        <v>4000</v>
      </c>
      <c r="I303" s="24">
        <v>17000</v>
      </c>
      <c r="J303" s="23">
        <v>17000</v>
      </c>
      <c r="K303" s="25">
        <f t="shared" si="24"/>
        <v>0</v>
      </c>
      <c r="L303" s="26">
        <f t="shared" si="25"/>
        <v>0</v>
      </c>
      <c r="M303" s="27">
        <v>0</v>
      </c>
      <c r="N303" s="28">
        <f t="shared" si="26"/>
        <v>17000</v>
      </c>
      <c r="O303" s="29">
        <f t="shared" si="27"/>
        <v>17000</v>
      </c>
      <c r="P303" s="29">
        <f t="shared" si="28"/>
        <v>17000</v>
      </c>
      <c r="Q303" s="30" t="e" cm="1">
        <f t="array" aca="1" ref="Q303" ca="1">spellNumber(P303)</f>
        <v>#NAME?</v>
      </c>
      <c r="R303" s="31">
        <f t="shared" si="29"/>
        <v>17200</v>
      </c>
      <c r="S303" s="32">
        <v>5000</v>
      </c>
      <c r="T303" s="32">
        <v>5000</v>
      </c>
      <c r="U303" s="32">
        <v>5000</v>
      </c>
      <c r="V303" s="32">
        <v>0</v>
      </c>
      <c r="W303" s="32">
        <v>0</v>
      </c>
      <c r="X303" s="32">
        <v>0</v>
      </c>
      <c r="Y303" s="32">
        <v>5000</v>
      </c>
      <c r="Z303" s="32">
        <v>0</v>
      </c>
      <c r="AA303" s="33">
        <v>5000</v>
      </c>
      <c r="AB303" s="34">
        <v>5000</v>
      </c>
      <c r="AC303" s="35">
        <v>5000</v>
      </c>
      <c r="AD303" s="36"/>
    </row>
    <row r="304" spans="1:30" ht="16.5" customHeight="1" x14ac:dyDescent="0.25">
      <c r="A304" s="19" t="s">
        <v>1304</v>
      </c>
      <c r="B304" s="19" t="s">
        <v>1305</v>
      </c>
      <c r="C304" s="19" t="s">
        <v>1234</v>
      </c>
      <c r="D304" s="19" t="s">
        <v>697</v>
      </c>
      <c r="E304" s="20"/>
      <c r="F304" s="21">
        <v>1</v>
      </c>
      <c r="G304" s="22" t="s">
        <v>1306</v>
      </c>
      <c r="H304" s="23">
        <v>2000</v>
      </c>
      <c r="I304" s="24">
        <v>3000</v>
      </c>
      <c r="J304" s="23">
        <v>3000</v>
      </c>
      <c r="K304" s="25">
        <f t="shared" si="24"/>
        <v>0</v>
      </c>
      <c r="L304" s="26">
        <f t="shared" si="25"/>
        <v>0</v>
      </c>
      <c r="M304" s="27">
        <v>0</v>
      </c>
      <c r="N304" s="28">
        <f t="shared" si="26"/>
        <v>3000</v>
      </c>
      <c r="O304" s="29">
        <f t="shared" si="27"/>
        <v>3000</v>
      </c>
      <c r="P304" s="29">
        <f t="shared" si="28"/>
        <v>3000</v>
      </c>
      <c r="Q304" s="30" t="e" cm="1">
        <f t="array" aca="1" ref="Q304" ca="1">spellNumber(P304)</f>
        <v>#NAME?</v>
      </c>
      <c r="R304" s="31">
        <f t="shared" si="29"/>
        <v>3200</v>
      </c>
      <c r="S304" s="32">
        <v>0</v>
      </c>
      <c r="T304" s="32">
        <v>2000</v>
      </c>
      <c r="U304" s="32">
        <v>4000</v>
      </c>
      <c r="V304" s="32">
        <v>2000</v>
      </c>
      <c r="W304" s="32">
        <v>2000</v>
      </c>
      <c r="X304" s="32">
        <v>2000</v>
      </c>
      <c r="Y304" s="32">
        <v>2000</v>
      </c>
      <c r="Z304" s="32">
        <v>2000</v>
      </c>
      <c r="AA304" s="33">
        <v>2000</v>
      </c>
      <c r="AB304" s="34">
        <v>0</v>
      </c>
      <c r="AC304" s="35">
        <v>3000</v>
      </c>
      <c r="AD304" s="36"/>
    </row>
    <row r="305" spans="1:30" ht="16.5" customHeight="1" x14ac:dyDescent="0.25">
      <c r="A305" s="19" t="s">
        <v>1307</v>
      </c>
      <c r="B305" s="19" t="s">
        <v>1308</v>
      </c>
      <c r="C305" s="19" t="s">
        <v>1309</v>
      </c>
      <c r="D305" s="19" t="s">
        <v>1310</v>
      </c>
      <c r="E305" s="20"/>
      <c r="F305" s="21">
        <v>3</v>
      </c>
      <c r="G305" s="22" t="s">
        <v>791</v>
      </c>
      <c r="H305" s="23">
        <v>5000</v>
      </c>
      <c r="I305" s="24">
        <v>5000</v>
      </c>
      <c r="J305" s="23">
        <v>5000</v>
      </c>
      <c r="K305" s="25">
        <f t="shared" si="24"/>
        <v>0</v>
      </c>
      <c r="L305" s="26">
        <f t="shared" si="25"/>
        <v>0</v>
      </c>
      <c r="M305" s="27">
        <v>0</v>
      </c>
      <c r="N305" s="28">
        <f t="shared" si="26"/>
        <v>5000</v>
      </c>
      <c r="O305" s="29">
        <f t="shared" si="27"/>
        <v>5000</v>
      </c>
      <c r="P305" s="29">
        <f t="shared" si="28"/>
        <v>5000</v>
      </c>
      <c r="Q305" s="30" t="e" cm="1">
        <f t="array" aca="1" ref="Q305" ca="1">spellNumber(P305)</f>
        <v>#NAME?</v>
      </c>
      <c r="R305" s="31">
        <f t="shared" si="29"/>
        <v>5200</v>
      </c>
      <c r="S305" s="32">
        <v>10000</v>
      </c>
      <c r="T305" s="32">
        <v>5000</v>
      </c>
      <c r="U305" s="32">
        <v>3600</v>
      </c>
      <c r="V305" s="32">
        <v>5000</v>
      </c>
      <c r="W305" s="32">
        <v>5000</v>
      </c>
      <c r="X305" s="32">
        <v>5000</v>
      </c>
      <c r="Y305" s="32">
        <v>6400</v>
      </c>
      <c r="Z305" s="32">
        <v>5000</v>
      </c>
      <c r="AA305" s="33">
        <v>5000</v>
      </c>
      <c r="AB305" s="34">
        <v>5000</v>
      </c>
      <c r="AC305" s="35">
        <v>5000</v>
      </c>
      <c r="AD305" s="36"/>
    </row>
    <row r="306" spans="1:30" ht="16.5" customHeight="1" x14ac:dyDescent="0.25">
      <c r="A306" s="19" t="s">
        <v>1311</v>
      </c>
      <c r="B306" s="19" t="s">
        <v>1312</v>
      </c>
      <c r="C306" s="19" t="s">
        <v>1313</v>
      </c>
      <c r="D306" s="19" t="s">
        <v>83</v>
      </c>
      <c r="E306" s="20" t="s">
        <v>34</v>
      </c>
      <c r="F306" s="21">
        <v>1</v>
      </c>
      <c r="G306" s="22" t="s">
        <v>1314</v>
      </c>
      <c r="H306" s="23">
        <v>3000</v>
      </c>
      <c r="I306" s="24">
        <v>-3000</v>
      </c>
      <c r="J306" s="23">
        <v>0</v>
      </c>
      <c r="K306" s="25">
        <f t="shared" si="24"/>
        <v>-3000</v>
      </c>
      <c r="L306" s="26">
        <f t="shared" si="25"/>
        <v>-1</v>
      </c>
      <c r="M306" s="27">
        <v>0</v>
      </c>
      <c r="N306" s="28">
        <f t="shared" si="26"/>
        <v>-3000</v>
      </c>
      <c r="O306" s="29">
        <f t="shared" si="27"/>
        <v>-3000</v>
      </c>
      <c r="P306" s="29">
        <f t="shared" si="28"/>
        <v>-3000</v>
      </c>
      <c r="Q306" s="30" t="e" cm="1">
        <f t="array" aca="1" ref="Q306" ca="1">spellNumber(P306)</f>
        <v>#NAME?</v>
      </c>
      <c r="R306" s="31">
        <f t="shared" si="29"/>
        <v>-2800</v>
      </c>
      <c r="S306" s="32">
        <v>5900</v>
      </c>
      <c r="T306" s="32">
        <v>10000</v>
      </c>
      <c r="U306" s="32">
        <v>3000</v>
      </c>
      <c r="V306" s="32">
        <v>0</v>
      </c>
      <c r="W306" s="32">
        <v>0</v>
      </c>
      <c r="X306" s="32">
        <v>5000</v>
      </c>
      <c r="Y306" s="32">
        <v>0</v>
      </c>
      <c r="Z306" s="32">
        <v>16000</v>
      </c>
      <c r="AA306" s="33">
        <v>0</v>
      </c>
      <c r="AB306" s="34">
        <v>0</v>
      </c>
      <c r="AC306" s="35">
        <v>0</v>
      </c>
      <c r="AD306" s="36"/>
    </row>
    <row r="307" spans="1:30" ht="16.5" customHeight="1" x14ac:dyDescent="0.25">
      <c r="A307" s="19" t="s">
        <v>1315</v>
      </c>
      <c r="B307" s="19" t="s">
        <v>1316</v>
      </c>
      <c r="C307" s="19" t="s">
        <v>1317</v>
      </c>
      <c r="D307" s="19" t="s">
        <v>1073</v>
      </c>
      <c r="E307" s="20"/>
      <c r="F307" s="21">
        <v>1</v>
      </c>
      <c r="G307" s="22" t="s">
        <v>1318</v>
      </c>
      <c r="H307" s="23">
        <v>2300</v>
      </c>
      <c r="I307" s="24">
        <v>6700</v>
      </c>
      <c r="J307" s="23">
        <v>6700</v>
      </c>
      <c r="K307" s="25">
        <f t="shared" si="24"/>
        <v>0</v>
      </c>
      <c r="L307" s="26">
        <f t="shared" si="25"/>
        <v>0</v>
      </c>
      <c r="M307" s="27">
        <v>0</v>
      </c>
      <c r="N307" s="28">
        <f t="shared" si="26"/>
        <v>6700</v>
      </c>
      <c r="O307" s="29">
        <f t="shared" si="27"/>
        <v>6700</v>
      </c>
      <c r="P307" s="29">
        <f t="shared" si="28"/>
        <v>6700</v>
      </c>
      <c r="Q307" s="30" t="e" cm="1">
        <f t="array" aca="1" ref="Q307" ca="1">spellNumber(P307)</f>
        <v>#NAME?</v>
      </c>
      <c r="R307" s="31">
        <f t="shared" si="29"/>
        <v>6900</v>
      </c>
      <c r="S307" s="32">
        <v>0</v>
      </c>
      <c r="T307" s="32">
        <v>0</v>
      </c>
      <c r="U307" s="32">
        <v>8000</v>
      </c>
      <c r="V307" s="32">
        <v>0</v>
      </c>
      <c r="W307" s="32">
        <v>0</v>
      </c>
      <c r="X307" s="32">
        <v>0</v>
      </c>
      <c r="Y307" s="32">
        <v>12300</v>
      </c>
      <c r="Z307" s="32">
        <v>0</v>
      </c>
      <c r="AA307" s="33">
        <v>0</v>
      </c>
      <c r="AB307" s="34">
        <v>0</v>
      </c>
      <c r="AC307" s="35">
        <v>7100</v>
      </c>
      <c r="AD307" s="36"/>
    </row>
    <row r="308" spans="1:30" ht="16.5" customHeight="1" x14ac:dyDescent="0.25">
      <c r="A308" s="19" t="s">
        <v>1319</v>
      </c>
      <c r="B308" s="19" t="s">
        <v>1320</v>
      </c>
      <c r="C308" s="19" t="s">
        <v>1321</v>
      </c>
      <c r="D308" s="19" t="s">
        <v>1322</v>
      </c>
      <c r="E308" s="20" t="s">
        <v>40</v>
      </c>
      <c r="F308" s="21">
        <v>3</v>
      </c>
      <c r="G308" s="22" t="s">
        <v>1323</v>
      </c>
      <c r="H308" s="23">
        <v>6000</v>
      </c>
      <c r="I308" s="24">
        <v>6000</v>
      </c>
      <c r="J308" s="23">
        <v>6000</v>
      </c>
      <c r="K308" s="25">
        <f t="shared" si="24"/>
        <v>0</v>
      </c>
      <c r="L308" s="26">
        <f t="shared" si="25"/>
        <v>0</v>
      </c>
      <c r="M308" s="27">
        <v>0</v>
      </c>
      <c r="N308" s="28">
        <f t="shared" si="26"/>
        <v>6000</v>
      </c>
      <c r="O308" s="29">
        <f t="shared" si="27"/>
        <v>6000</v>
      </c>
      <c r="P308" s="29">
        <f t="shared" si="28"/>
        <v>6000</v>
      </c>
      <c r="Q308" s="30" t="e" cm="1">
        <f t="array" aca="1" ref="Q308" ca="1">spellNumber(P308)</f>
        <v>#NAME?</v>
      </c>
      <c r="R308" s="31">
        <f t="shared" si="29"/>
        <v>6200</v>
      </c>
      <c r="S308" s="32">
        <v>0</v>
      </c>
      <c r="T308" s="32">
        <v>18000</v>
      </c>
      <c r="U308" s="32">
        <v>6000</v>
      </c>
      <c r="V308" s="32">
        <v>6000</v>
      </c>
      <c r="W308" s="32">
        <v>6000</v>
      </c>
      <c r="X308" s="32">
        <v>6000</v>
      </c>
      <c r="Y308" s="32">
        <v>6000</v>
      </c>
      <c r="Z308" s="32">
        <v>6000</v>
      </c>
      <c r="AA308" s="33">
        <v>6000</v>
      </c>
      <c r="AB308" s="34">
        <v>6000</v>
      </c>
      <c r="AC308" s="35">
        <v>6000</v>
      </c>
      <c r="AD308" s="36"/>
    </row>
    <row r="309" spans="1:30" ht="16.5" customHeight="1" x14ac:dyDescent="0.25">
      <c r="A309" s="19" t="s">
        <v>1324</v>
      </c>
      <c r="B309" s="19" t="s">
        <v>1325</v>
      </c>
      <c r="C309" s="19" t="s">
        <v>1326</v>
      </c>
      <c r="D309" s="19" t="s">
        <v>282</v>
      </c>
      <c r="E309" s="20" t="s">
        <v>34</v>
      </c>
      <c r="F309" s="21">
        <v>1</v>
      </c>
      <c r="G309" s="22" t="s">
        <v>1327</v>
      </c>
      <c r="H309" s="23">
        <v>2500</v>
      </c>
      <c r="I309" s="24">
        <v>2500</v>
      </c>
      <c r="J309" s="23">
        <v>2500</v>
      </c>
      <c r="K309" s="25">
        <f t="shared" si="24"/>
        <v>0</v>
      </c>
      <c r="L309" s="26">
        <f t="shared" si="25"/>
        <v>0</v>
      </c>
      <c r="M309" s="27">
        <v>0</v>
      </c>
      <c r="N309" s="28">
        <f t="shared" si="26"/>
        <v>2500</v>
      </c>
      <c r="O309" s="29">
        <f t="shared" si="27"/>
        <v>2500</v>
      </c>
      <c r="P309" s="29">
        <f t="shared" si="28"/>
        <v>2500</v>
      </c>
      <c r="Q309" s="30" t="e" cm="1">
        <f t="array" aca="1" ref="Q309" ca="1">spellNumber(P309)</f>
        <v>#NAME?</v>
      </c>
      <c r="R309" s="31">
        <f t="shared" si="29"/>
        <v>2700</v>
      </c>
      <c r="S309" s="32">
        <v>0</v>
      </c>
      <c r="T309" s="32">
        <v>5000</v>
      </c>
      <c r="U309" s="32">
        <v>2500</v>
      </c>
      <c r="V309" s="32">
        <v>2500</v>
      </c>
      <c r="W309" s="32">
        <v>2500</v>
      </c>
      <c r="X309" s="32">
        <v>2500</v>
      </c>
      <c r="Y309" s="32">
        <v>2500</v>
      </c>
      <c r="Z309" s="32">
        <v>2500</v>
      </c>
      <c r="AA309" s="33">
        <v>2500</v>
      </c>
      <c r="AB309" s="34">
        <v>2500</v>
      </c>
      <c r="AC309" s="35">
        <v>2500</v>
      </c>
      <c r="AD309" s="36"/>
    </row>
    <row r="310" spans="1:30" ht="16.5" customHeight="1" x14ac:dyDescent="0.25">
      <c r="A310" s="19" t="s">
        <v>1328</v>
      </c>
      <c r="B310" s="19" t="s">
        <v>1329</v>
      </c>
      <c r="C310" s="19" t="s">
        <v>1330</v>
      </c>
      <c r="D310" s="19" t="s">
        <v>493</v>
      </c>
      <c r="E310" s="20"/>
      <c r="F310" s="21">
        <v>1</v>
      </c>
      <c r="G310" s="47" t="s">
        <v>1331</v>
      </c>
      <c r="H310" s="23">
        <v>2300</v>
      </c>
      <c r="I310" s="24">
        <v>2300</v>
      </c>
      <c r="J310" s="23">
        <v>2300</v>
      </c>
      <c r="K310" s="25">
        <f t="shared" si="24"/>
        <v>0</v>
      </c>
      <c r="L310" s="26">
        <f t="shared" si="25"/>
        <v>0</v>
      </c>
      <c r="M310" s="27">
        <v>0</v>
      </c>
      <c r="N310" s="28">
        <f t="shared" si="26"/>
        <v>2300</v>
      </c>
      <c r="O310" s="29">
        <f t="shared" si="27"/>
        <v>2300</v>
      </c>
      <c r="P310" s="29">
        <f t="shared" si="28"/>
        <v>2300</v>
      </c>
      <c r="Q310" s="30" t="e" cm="1">
        <f t="array" aca="1" ref="Q310" ca="1">spellNumber(P310)</f>
        <v>#NAME?</v>
      </c>
      <c r="R310" s="31">
        <f t="shared" si="29"/>
        <v>2500</v>
      </c>
      <c r="S310" s="32">
        <v>4800</v>
      </c>
      <c r="T310" s="32">
        <v>2300</v>
      </c>
      <c r="U310" s="32">
        <v>2300</v>
      </c>
      <c r="V310" s="32">
        <v>0</v>
      </c>
      <c r="W310" s="32">
        <v>4000</v>
      </c>
      <c r="X310" s="32">
        <v>2900</v>
      </c>
      <c r="Y310" s="32">
        <v>2300</v>
      </c>
      <c r="Z310" s="32">
        <v>2300</v>
      </c>
      <c r="AA310" s="33">
        <v>2300</v>
      </c>
      <c r="AB310" s="34">
        <v>2300</v>
      </c>
      <c r="AC310" s="35">
        <v>2300</v>
      </c>
      <c r="AD310" s="36"/>
    </row>
    <row r="311" spans="1:30" ht="16.5" customHeight="1" x14ac:dyDescent="0.25">
      <c r="A311" s="19" t="s">
        <v>1332</v>
      </c>
      <c r="B311" s="19" t="s">
        <v>1333</v>
      </c>
      <c r="C311" s="19" t="s">
        <v>1334</v>
      </c>
      <c r="D311" s="19" t="s">
        <v>493</v>
      </c>
      <c r="E311" s="20"/>
      <c r="F311" s="21">
        <v>1</v>
      </c>
      <c r="G311" s="22" t="s">
        <v>1335</v>
      </c>
      <c r="H311" s="23">
        <v>2100</v>
      </c>
      <c r="I311" s="24">
        <v>2046</v>
      </c>
      <c r="J311" s="23">
        <v>2046</v>
      </c>
      <c r="K311" s="25">
        <f t="shared" si="24"/>
        <v>0</v>
      </c>
      <c r="L311" s="26">
        <f t="shared" si="25"/>
        <v>0</v>
      </c>
      <c r="M311" s="27">
        <v>0</v>
      </c>
      <c r="N311" s="28">
        <f t="shared" si="26"/>
        <v>2046</v>
      </c>
      <c r="O311" s="29">
        <f t="shared" si="27"/>
        <v>2046</v>
      </c>
      <c r="P311" s="29">
        <f t="shared" si="28"/>
        <v>2000</v>
      </c>
      <c r="Q311" s="30" t="e" cm="1">
        <f t="array" aca="1" ref="Q311" ca="1">spellNumber(P311)</f>
        <v>#NAME?</v>
      </c>
      <c r="R311" s="31">
        <f t="shared" si="29"/>
        <v>2200</v>
      </c>
      <c r="S311" s="32">
        <v>4100</v>
      </c>
      <c r="T311" s="32">
        <v>2100</v>
      </c>
      <c r="U311" s="32">
        <v>0</v>
      </c>
      <c r="V311" s="32">
        <v>0</v>
      </c>
      <c r="W311" s="32">
        <v>0</v>
      </c>
      <c r="X311" s="32">
        <v>0</v>
      </c>
      <c r="Y311" s="32">
        <v>4117</v>
      </c>
      <c r="Z311" s="32">
        <v>4117</v>
      </c>
      <c r="AA311" s="33">
        <v>4120</v>
      </c>
      <c r="AB311" s="34">
        <v>4100</v>
      </c>
      <c r="AC311" s="35">
        <v>2500</v>
      </c>
      <c r="AD311" s="36"/>
    </row>
    <row r="312" spans="1:30" ht="16.5" customHeight="1" x14ac:dyDescent="0.25">
      <c r="A312" s="19" t="s">
        <v>1336</v>
      </c>
      <c r="B312" s="19" t="s">
        <v>1337</v>
      </c>
      <c r="C312" s="19" t="s">
        <v>1338</v>
      </c>
      <c r="D312" s="19" t="s">
        <v>493</v>
      </c>
      <c r="E312" s="20"/>
      <c r="F312" s="21">
        <v>1</v>
      </c>
      <c r="G312" s="22" t="s">
        <v>1339</v>
      </c>
      <c r="H312" s="23">
        <v>2200</v>
      </c>
      <c r="I312" s="24">
        <v>2200</v>
      </c>
      <c r="J312" s="23">
        <v>2000</v>
      </c>
      <c r="K312" s="25">
        <f t="shared" si="24"/>
        <v>200</v>
      </c>
      <c r="L312" s="26">
        <f t="shared" si="25"/>
        <v>9.0909090909090912E-2</v>
      </c>
      <c r="M312" s="27">
        <v>0</v>
      </c>
      <c r="N312" s="28">
        <f t="shared" si="26"/>
        <v>2200</v>
      </c>
      <c r="O312" s="29">
        <f t="shared" si="27"/>
        <v>2200</v>
      </c>
      <c r="P312" s="29">
        <f t="shared" si="28"/>
        <v>2200</v>
      </c>
      <c r="Q312" s="30" t="e" cm="1">
        <f t="array" aca="1" ref="Q312" ca="1">spellNumber(P312)</f>
        <v>#NAME?</v>
      </c>
      <c r="R312" s="31">
        <f t="shared" si="29"/>
        <v>2400</v>
      </c>
      <c r="S312" s="32">
        <v>4000</v>
      </c>
      <c r="T312" s="32">
        <v>2000</v>
      </c>
      <c r="U312" s="32">
        <v>0</v>
      </c>
      <c r="V312" s="32">
        <v>0</v>
      </c>
      <c r="W312" s="32">
        <v>2000</v>
      </c>
      <c r="X312" s="32">
        <v>6000</v>
      </c>
      <c r="Y312" s="32">
        <v>2000</v>
      </c>
      <c r="Z312" s="32">
        <v>2000</v>
      </c>
      <c r="AA312" s="33">
        <v>2000</v>
      </c>
      <c r="AB312" s="34">
        <v>2000</v>
      </c>
      <c r="AC312" s="35">
        <v>2000</v>
      </c>
      <c r="AD312" s="36"/>
    </row>
    <row r="313" spans="1:30" ht="16.5" customHeight="1" x14ac:dyDescent="0.25">
      <c r="A313" s="19" t="s">
        <v>1340</v>
      </c>
      <c r="B313" s="19" t="s">
        <v>1341</v>
      </c>
      <c r="C313" s="19" t="s">
        <v>1342</v>
      </c>
      <c r="D313" s="19" t="s">
        <v>493</v>
      </c>
      <c r="E313" s="20"/>
      <c r="F313" s="21">
        <v>1</v>
      </c>
      <c r="G313" s="22" t="s">
        <v>1343</v>
      </c>
      <c r="H313" s="23">
        <v>2000</v>
      </c>
      <c r="I313" s="24">
        <v>3600</v>
      </c>
      <c r="J313" s="23">
        <v>3600</v>
      </c>
      <c r="K313" s="25">
        <f t="shared" si="24"/>
        <v>0</v>
      </c>
      <c r="L313" s="26">
        <f t="shared" si="25"/>
        <v>0</v>
      </c>
      <c r="M313" s="27">
        <v>0</v>
      </c>
      <c r="N313" s="28">
        <f t="shared" si="26"/>
        <v>3600</v>
      </c>
      <c r="O313" s="29">
        <f t="shared" si="27"/>
        <v>3600</v>
      </c>
      <c r="P313" s="29">
        <f t="shared" si="28"/>
        <v>3600</v>
      </c>
      <c r="Q313" s="30" t="e" cm="1">
        <f t="array" aca="1" ref="Q313" ca="1">spellNumber(P313)</f>
        <v>#NAME?</v>
      </c>
      <c r="R313" s="31">
        <f t="shared" si="29"/>
        <v>3800</v>
      </c>
      <c r="S313" s="32">
        <v>0</v>
      </c>
      <c r="T313" s="32">
        <v>0</v>
      </c>
      <c r="U313" s="32">
        <v>8000</v>
      </c>
      <c r="V313" s="32">
        <v>2000</v>
      </c>
      <c r="W313" s="32">
        <v>0</v>
      </c>
      <c r="X313" s="32">
        <v>4000</v>
      </c>
      <c r="Y313" s="32">
        <v>0</v>
      </c>
      <c r="Z313" s="32">
        <v>2400</v>
      </c>
      <c r="AA313" s="33">
        <v>2400</v>
      </c>
      <c r="AB313" s="34">
        <v>0</v>
      </c>
      <c r="AC313" s="35">
        <v>3600</v>
      </c>
      <c r="AD313" s="36"/>
    </row>
    <row r="314" spans="1:30" ht="16.5" customHeight="1" x14ac:dyDescent="0.25">
      <c r="A314" s="19" t="s">
        <v>1344</v>
      </c>
      <c r="B314" s="19" t="s">
        <v>1345</v>
      </c>
      <c r="C314" s="19" t="s">
        <v>1346</v>
      </c>
      <c r="D314" s="19" t="s">
        <v>1347</v>
      </c>
      <c r="E314" s="20"/>
      <c r="F314" s="21">
        <v>2</v>
      </c>
      <c r="G314" s="22" t="s">
        <v>1348</v>
      </c>
      <c r="H314" s="23">
        <v>3500</v>
      </c>
      <c r="I314" s="24">
        <v>3500</v>
      </c>
      <c r="J314" s="23">
        <v>3500</v>
      </c>
      <c r="K314" s="25">
        <f t="shared" si="24"/>
        <v>0</v>
      </c>
      <c r="L314" s="26">
        <f t="shared" si="25"/>
        <v>0</v>
      </c>
      <c r="M314" s="27">
        <v>0</v>
      </c>
      <c r="N314" s="28">
        <f t="shared" si="26"/>
        <v>3500</v>
      </c>
      <c r="O314" s="29">
        <f t="shared" si="27"/>
        <v>3500</v>
      </c>
      <c r="P314" s="29">
        <f t="shared" si="28"/>
        <v>3500</v>
      </c>
      <c r="Q314" s="30" t="e" cm="1">
        <f t="array" aca="1" ref="Q314" ca="1">spellNumber(P314)</f>
        <v>#NAME?</v>
      </c>
      <c r="R314" s="31">
        <f t="shared" si="29"/>
        <v>3700</v>
      </c>
      <c r="S314" s="32">
        <v>9000</v>
      </c>
      <c r="T314" s="32">
        <v>3500</v>
      </c>
      <c r="U314" s="32">
        <v>3500</v>
      </c>
      <c r="V314" s="32">
        <v>3500</v>
      </c>
      <c r="W314" s="32">
        <v>3500</v>
      </c>
      <c r="X314" s="32">
        <v>3500</v>
      </c>
      <c r="Y314" s="32">
        <v>3500</v>
      </c>
      <c r="Z314" s="32">
        <v>3500</v>
      </c>
      <c r="AA314" s="33">
        <v>3500</v>
      </c>
      <c r="AB314" s="34">
        <v>3500</v>
      </c>
      <c r="AC314" s="35">
        <v>3500</v>
      </c>
      <c r="AD314" s="36"/>
    </row>
    <row r="315" spans="1:30" ht="16.5" customHeight="1" x14ac:dyDescent="0.25">
      <c r="A315" s="19" t="s">
        <v>1349</v>
      </c>
      <c r="B315" s="19" t="s">
        <v>1350</v>
      </c>
      <c r="C315" s="19" t="s">
        <v>1351</v>
      </c>
      <c r="D315" s="19" t="s">
        <v>493</v>
      </c>
      <c r="E315" s="20"/>
      <c r="F315" s="21">
        <v>1</v>
      </c>
      <c r="G315" s="22" t="s">
        <v>928</v>
      </c>
      <c r="H315" s="23">
        <v>2200</v>
      </c>
      <c r="I315" s="24">
        <v>2200</v>
      </c>
      <c r="J315" s="23">
        <v>2200</v>
      </c>
      <c r="K315" s="25">
        <f t="shared" si="24"/>
        <v>0</v>
      </c>
      <c r="L315" s="26">
        <f t="shared" si="25"/>
        <v>0</v>
      </c>
      <c r="M315" s="27">
        <v>0</v>
      </c>
      <c r="N315" s="28">
        <f t="shared" si="26"/>
        <v>2200</v>
      </c>
      <c r="O315" s="29">
        <f t="shared" si="27"/>
        <v>2200</v>
      </c>
      <c r="P315" s="29">
        <f t="shared" si="28"/>
        <v>2200</v>
      </c>
      <c r="Q315" s="30" t="e" cm="1">
        <f t="array" aca="1" ref="Q315" ca="1">spellNumber(P315)</f>
        <v>#NAME?</v>
      </c>
      <c r="R315" s="31">
        <f t="shared" si="29"/>
        <v>2400</v>
      </c>
      <c r="S315" s="32">
        <v>4200</v>
      </c>
      <c r="T315" s="32">
        <v>0</v>
      </c>
      <c r="U315" s="32">
        <v>6000</v>
      </c>
      <c r="V315" s="32">
        <v>0</v>
      </c>
      <c r="W315" s="32">
        <v>0</v>
      </c>
      <c r="X315" s="32">
        <v>0</v>
      </c>
      <c r="Y315" s="32">
        <v>9200</v>
      </c>
      <c r="Z315" s="32">
        <v>0</v>
      </c>
      <c r="AA315" s="33">
        <v>4400</v>
      </c>
      <c r="AB315" s="34">
        <v>2200</v>
      </c>
      <c r="AC315" s="35">
        <v>2200</v>
      </c>
      <c r="AD315" s="36"/>
    </row>
    <row r="316" spans="1:30" ht="16.5" customHeight="1" x14ac:dyDescent="0.25">
      <c r="A316" s="19" t="s">
        <v>1352</v>
      </c>
      <c r="B316" s="19" t="s">
        <v>1353</v>
      </c>
      <c r="C316" s="19" t="s">
        <v>752</v>
      </c>
      <c r="D316" s="19" t="s">
        <v>1354</v>
      </c>
      <c r="E316" s="20"/>
      <c r="F316" s="21">
        <v>2</v>
      </c>
      <c r="G316" s="22" t="s">
        <v>1291</v>
      </c>
      <c r="H316" s="23">
        <v>3500</v>
      </c>
      <c r="I316" s="24">
        <v>3500</v>
      </c>
      <c r="J316" s="23">
        <v>3500</v>
      </c>
      <c r="K316" s="25">
        <f t="shared" si="24"/>
        <v>0</v>
      </c>
      <c r="L316" s="26">
        <f t="shared" si="25"/>
        <v>0</v>
      </c>
      <c r="M316" s="27">
        <v>0</v>
      </c>
      <c r="N316" s="28">
        <f t="shared" si="26"/>
        <v>3500</v>
      </c>
      <c r="O316" s="29">
        <f t="shared" si="27"/>
        <v>3500</v>
      </c>
      <c r="P316" s="29">
        <f t="shared" si="28"/>
        <v>3500</v>
      </c>
      <c r="Q316" s="30" t="e" cm="1">
        <f t="array" aca="1" ref="Q316" ca="1">spellNumber(P316)</f>
        <v>#NAME?</v>
      </c>
      <c r="R316" s="31">
        <f t="shared" si="29"/>
        <v>3700</v>
      </c>
      <c r="S316" s="32">
        <v>0</v>
      </c>
      <c r="T316" s="32">
        <v>6000</v>
      </c>
      <c r="U316" s="32">
        <v>2000</v>
      </c>
      <c r="V316" s="32">
        <v>2000</v>
      </c>
      <c r="W316" s="32">
        <v>5000</v>
      </c>
      <c r="X316" s="32">
        <v>3500</v>
      </c>
      <c r="Y316" s="32">
        <v>3500</v>
      </c>
      <c r="Z316" s="32">
        <v>3500</v>
      </c>
      <c r="AA316" s="33">
        <v>3500</v>
      </c>
      <c r="AB316" s="34">
        <v>0</v>
      </c>
      <c r="AC316" s="35">
        <v>7000</v>
      </c>
      <c r="AD316" s="36"/>
    </row>
    <row r="317" spans="1:30" ht="16.5" customHeight="1" x14ac:dyDescent="0.25">
      <c r="A317" s="19" t="s">
        <v>1355</v>
      </c>
      <c r="B317" s="19" t="s">
        <v>1356</v>
      </c>
      <c r="C317" s="19" t="s">
        <v>1357</v>
      </c>
      <c r="D317" s="19" t="s">
        <v>1287</v>
      </c>
      <c r="E317" s="20"/>
      <c r="F317" s="21">
        <v>2</v>
      </c>
      <c r="G317" s="22" t="s">
        <v>1124</v>
      </c>
      <c r="H317" s="23">
        <v>3600</v>
      </c>
      <c r="I317" s="24">
        <v>3600</v>
      </c>
      <c r="J317" s="23">
        <v>3600</v>
      </c>
      <c r="K317" s="25">
        <f t="shared" si="24"/>
        <v>0</v>
      </c>
      <c r="L317" s="26">
        <f t="shared" si="25"/>
        <v>0</v>
      </c>
      <c r="M317" s="27">
        <v>0</v>
      </c>
      <c r="N317" s="28">
        <f t="shared" si="26"/>
        <v>3600</v>
      </c>
      <c r="O317" s="29">
        <f t="shared" si="27"/>
        <v>3600</v>
      </c>
      <c r="P317" s="29">
        <f t="shared" si="28"/>
        <v>3600</v>
      </c>
      <c r="Q317" s="30" t="e" cm="1">
        <f t="array" aca="1" ref="Q317" ca="1">spellNumber(P317)</f>
        <v>#NAME?</v>
      </c>
      <c r="R317" s="31">
        <f t="shared" si="29"/>
        <v>3800</v>
      </c>
      <c r="S317" s="32">
        <v>7600</v>
      </c>
      <c r="T317" s="32">
        <v>3600</v>
      </c>
      <c r="U317" s="32">
        <v>3600</v>
      </c>
      <c r="V317" s="32">
        <v>3600</v>
      </c>
      <c r="W317" s="32">
        <v>3600</v>
      </c>
      <c r="X317" s="32">
        <v>3600</v>
      </c>
      <c r="Y317" s="32">
        <v>3600</v>
      </c>
      <c r="Z317" s="32">
        <v>3600</v>
      </c>
      <c r="AA317" s="33">
        <v>3600</v>
      </c>
      <c r="AB317" s="34">
        <v>3600</v>
      </c>
      <c r="AC317" s="35">
        <v>3600</v>
      </c>
      <c r="AD317" s="36"/>
    </row>
    <row r="318" spans="1:30" ht="16.5" customHeight="1" x14ac:dyDescent="0.25">
      <c r="A318" s="19" t="s">
        <v>1358</v>
      </c>
      <c r="B318" s="19" t="s">
        <v>1359</v>
      </c>
      <c r="C318" s="19" t="s">
        <v>1360</v>
      </c>
      <c r="D318" s="19" t="s">
        <v>1354</v>
      </c>
      <c r="E318" s="20"/>
      <c r="F318" s="21">
        <v>2</v>
      </c>
      <c r="G318" s="22" t="s">
        <v>1248</v>
      </c>
      <c r="H318" s="23">
        <v>3500</v>
      </c>
      <c r="I318" s="24">
        <v>6300</v>
      </c>
      <c r="J318" s="23">
        <v>6300</v>
      </c>
      <c r="K318" s="25">
        <f t="shared" si="24"/>
        <v>0</v>
      </c>
      <c r="L318" s="26">
        <f t="shared" si="25"/>
        <v>0</v>
      </c>
      <c r="M318" s="27">
        <v>0</v>
      </c>
      <c r="N318" s="28">
        <f t="shared" si="26"/>
        <v>6300</v>
      </c>
      <c r="O318" s="29">
        <f t="shared" si="27"/>
        <v>6300</v>
      </c>
      <c r="P318" s="29">
        <f t="shared" si="28"/>
        <v>6300</v>
      </c>
      <c r="Q318" s="30" t="e" cm="1">
        <f t="array" aca="1" ref="Q318" ca="1">spellNumber(P318)</f>
        <v>#NAME?</v>
      </c>
      <c r="R318" s="31">
        <f t="shared" si="29"/>
        <v>6500</v>
      </c>
      <c r="S318" s="32">
        <v>0</v>
      </c>
      <c r="T318" s="32">
        <v>0</v>
      </c>
      <c r="U318" s="32">
        <v>14500</v>
      </c>
      <c r="V318" s="32">
        <v>3500</v>
      </c>
      <c r="W318" s="32">
        <v>0</v>
      </c>
      <c r="X318" s="32">
        <v>7000</v>
      </c>
      <c r="Y318" s="32">
        <v>0</v>
      </c>
      <c r="Z318" s="32">
        <v>4200</v>
      </c>
      <c r="AA318" s="33">
        <v>4200</v>
      </c>
      <c r="AB318" s="34">
        <v>0</v>
      </c>
      <c r="AC318" s="35">
        <v>6300</v>
      </c>
      <c r="AD318" s="36"/>
    </row>
    <row r="319" spans="1:30" ht="16.5" customHeight="1" x14ac:dyDescent="0.25">
      <c r="A319" s="19" t="s">
        <v>1361</v>
      </c>
      <c r="B319" s="19" t="s">
        <v>1362</v>
      </c>
      <c r="C319" s="19" t="s">
        <v>1363</v>
      </c>
      <c r="D319" s="19" t="s">
        <v>434</v>
      </c>
      <c r="E319" s="20" t="s">
        <v>40</v>
      </c>
      <c r="F319" s="21">
        <v>1</v>
      </c>
      <c r="G319" s="51" t="s">
        <v>1211</v>
      </c>
      <c r="H319" s="23">
        <v>0</v>
      </c>
      <c r="I319" s="24">
        <v>0</v>
      </c>
      <c r="J319" s="23">
        <v>0</v>
      </c>
      <c r="K319" s="25">
        <f t="shared" si="24"/>
        <v>0</v>
      </c>
      <c r="L319" s="26" t="e">
        <f t="shared" si="25"/>
        <v>#DIV/0!</v>
      </c>
      <c r="M319" s="27">
        <v>0</v>
      </c>
      <c r="N319" s="28">
        <f t="shared" si="26"/>
        <v>0</v>
      </c>
      <c r="O319" s="29">
        <f t="shared" si="27"/>
        <v>0</v>
      </c>
      <c r="P319" s="29">
        <f t="shared" si="28"/>
        <v>0</v>
      </c>
      <c r="Q319" s="30" t="e" cm="1">
        <f t="array" aca="1" ref="Q319" ca="1">spellNumber(P319)</f>
        <v>#NAME?</v>
      </c>
      <c r="R319" s="31">
        <f t="shared" si="29"/>
        <v>200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  <c r="X319" s="32">
        <v>0</v>
      </c>
      <c r="Y319" s="32">
        <v>5000</v>
      </c>
      <c r="Z319" s="32">
        <v>0</v>
      </c>
      <c r="AA319" s="33">
        <v>0</v>
      </c>
      <c r="AB319" s="34">
        <v>0</v>
      </c>
      <c r="AC319" s="35">
        <v>0</v>
      </c>
      <c r="AD319" s="36"/>
    </row>
    <row r="320" spans="1:30" ht="16.5" customHeight="1" x14ac:dyDescent="0.25">
      <c r="A320" s="19" t="s">
        <v>1364</v>
      </c>
      <c r="B320" s="19" t="s">
        <v>1365</v>
      </c>
      <c r="C320" s="19" t="s">
        <v>1366</v>
      </c>
      <c r="D320" s="19" t="s">
        <v>1367</v>
      </c>
      <c r="E320" s="20"/>
      <c r="F320" s="21">
        <v>3</v>
      </c>
      <c r="G320" s="22" t="s">
        <v>254</v>
      </c>
      <c r="H320" s="23">
        <v>5000</v>
      </c>
      <c r="I320" s="24">
        <v>15000</v>
      </c>
      <c r="J320" s="23">
        <v>0</v>
      </c>
      <c r="K320" s="25">
        <f t="shared" si="24"/>
        <v>15000</v>
      </c>
      <c r="L320" s="26">
        <f t="shared" si="25"/>
        <v>3</v>
      </c>
      <c r="M320" s="27">
        <v>0</v>
      </c>
      <c r="N320" s="28">
        <f t="shared" si="26"/>
        <v>15000</v>
      </c>
      <c r="O320" s="29">
        <f t="shared" si="27"/>
        <v>15000</v>
      </c>
      <c r="P320" s="29">
        <f t="shared" si="28"/>
        <v>15000</v>
      </c>
      <c r="Q320" s="30" t="e" cm="1">
        <f t="array" aca="1" ref="Q320" ca="1">spellNumber(P320)</f>
        <v>#NAME?</v>
      </c>
      <c r="R320" s="31">
        <f t="shared" si="29"/>
        <v>15200</v>
      </c>
      <c r="S320" s="32">
        <v>0</v>
      </c>
      <c r="T320" s="32">
        <v>0</v>
      </c>
      <c r="U320" s="32">
        <v>24600</v>
      </c>
      <c r="V320" s="32">
        <v>0</v>
      </c>
      <c r="W320" s="32">
        <v>0</v>
      </c>
      <c r="X320" s="32">
        <v>0</v>
      </c>
      <c r="Y320" s="32">
        <v>15000</v>
      </c>
      <c r="Z320" s="32">
        <v>0</v>
      </c>
      <c r="AA320" s="33">
        <v>15000</v>
      </c>
      <c r="AB320" s="34">
        <v>0</v>
      </c>
      <c r="AC320" s="35">
        <v>0</v>
      </c>
      <c r="AD320" s="36"/>
    </row>
    <row r="321" spans="1:30" ht="16.5" customHeight="1" x14ac:dyDescent="0.25">
      <c r="A321" s="19" t="s">
        <v>1368</v>
      </c>
      <c r="B321" s="19" t="s">
        <v>1369</v>
      </c>
      <c r="C321" s="19" t="s">
        <v>1370</v>
      </c>
      <c r="D321" s="19" t="s">
        <v>1371</v>
      </c>
      <c r="E321" s="20" t="s">
        <v>40</v>
      </c>
      <c r="F321" s="21">
        <v>3</v>
      </c>
      <c r="G321" s="22" t="s">
        <v>1372</v>
      </c>
      <c r="H321" s="23">
        <v>6000</v>
      </c>
      <c r="I321" s="24">
        <v>6000</v>
      </c>
      <c r="J321" s="23">
        <v>6000</v>
      </c>
      <c r="K321" s="25">
        <f t="shared" si="24"/>
        <v>0</v>
      </c>
      <c r="L321" s="26">
        <f t="shared" si="25"/>
        <v>0</v>
      </c>
      <c r="M321" s="27">
        <v>0</v>
      </c>
      <c r="N321" s="28">
        <f t="shared" si="26"/>
        <v>6000</v>
      </c>
      <c r="O321" s="29">
        <f t="shared" si="27"/>
        <v>6000</v>
      </c>
      <c r="P321" s="29">
        <f t="shared" si="28"/>
        <v>6000</v>
      </c>
      <c r="Q321" s="30" t="e" cm="1">
        <f t="array" aca="1" ref="Q321" ca="1">spellNumber(P321)</f>
        <v>#NAME?</v>
      </c>
      <c r="R321" s="31">
        <f t="shared" si="29"/>
        <v>6200</v>
      </c>
      <c r="S321" s="32">
        <v>0</v>
      </c>
      <c r="T321" s="32">
        <v>12000</v>
      </c>
      <c r="U321" s="32">
        <v>6000</v>
      </c>
      <c r="V321" s="32">
        <v>0</v>
      </c>
      <c r="W321" s="32">
        <v>0</v>
      </c>
      <c r="X321" s="32">
        <v>12000</v>
      </c>
      <c r="Y321" s="32">
        <v>6000</v>
      </c>
      <c r="Z321" s="32">
        <v>12000</v>
      </c>
      <c r="AA321" s="33">
        <v>6000</v>
      </c>
      <c r="AB321" s="34">
        <v>6000</v>
      </c>
      <c r="AC321" s="35">
        <v>6000</v>
      </c>
      <c r="AD321" s="36"/>
    </row>
    <row r="322" spans="1:30" ht="16.5" customHeight="1" x14ac:dyDescent="0.25">
      <c r="A322" s="19" t="s">
        <v>1373</v>
      </c>
      <c r="B322" s="19" t="s">
        <v>707</v>
      </c>
      <c r="C322" s="19" t="s">
        <v>707</v>
      </c>
      <c r="D322" s="19" t="s">
        <v>707</v>
      </c>
      <c r="E322" s="20"/>
      <c r="F322" s="21">
        <v>0</v>
      </c>
      <c r="G322" s="52" t="s">
        <v>956</v>
      </c>
      <c r="H322" s="23">
        <v>0</v>
      </c>
      <c r="I322" s="24">
        <v>0</v>
      </c>
      <c r="J322" s="23">
        <v>0</v>
      </c>
      <c r="K322" s="25">
        <f t="shared" ref="K322:K385" si="30">I322-J322</f>
        <v>0</v>
      </c>
      <c r="L322" s="26" t="e">
        <f t="shared" ref="L322:L385" si="31">K322/H322</f>
        <v>#DIV/0!</v>
      </c>
      <c r="M322" s="27">
        <v>0</v>
      </c>
      <c r="N322" s="28">
        <f t="shared" ref="N322:N385" si="32">I322+M322</f>
        <v>0</v>
      </c>
      <c r="O322" s="29">
        <f t="shared" si="27"/>
        <v>0</v>
      </c>
      <c r="P322" s="29">
        <f t="shared" si="28"/>
        <v>0</v>
      </c>
      <c r="Q322" s="30" t="e" cm="1">
        <f t="array" aca="1" ref="Q322" ca="1">spellNumber(P322)</f>
        <v>#NAME?</v>
      </c>
      <c r="R322" s="31">
        <f t="shared" si="29"/>
        <v>200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  <c r="X322" s="32">
        <v>0</v>
      </c>
      <c r="Y322" s="32">
        <v>0</v>
      </c>
      <c r="Z322" s="32">
        <v>0</v>
      </c>
      <c r="AA322" s="33">
        <v>0</v>
      </c>
      <c r="AB322" s="34">
        <v>0</v>
      </c>
      <c r="AC322" s="35">
        <v>0</v>
      </c>
      <c r="AD322" s="36"/>
    </row>
    <row r="323" spans="1:30" ht="16.5" customHeight="1" x14ac:dyDescent="0.25">
      <c r="A323" s="19" t="s">
        <v>1374</v>
      </c>
      <c r="B323" s="19" t="s">
        <v>1375</v>
      </c>
      <c r="C323" s="19" t="s">
        <v>1376</v>
      </c>
      <c r="D323" s="19" t="s">
        <v>1377</v>
      </c>
      <c r="E323" s="20"/>
      <c r="F323" s="21">
        <v>2</v>
      </c>
      <c r="G323" s="22" t="s">
        <v>1378</v>
      </c>
      <c r="H323" s="23">
        <v>4000</v>
      </c>
      <c r="I323" s="24">
        <v>10000</v>
      </c>
      <c r="J323" s="23">
        <v>5000</v>
      </c>
      <c r="K323" s="25">
        <f t="shared" si="30"/>
        <v>5000</v>
      </c>
      <c r="L323" s="26">
        <f t="shared" si="31"/>
        <v>1.25</v>
      </c>
      <c r="M323" s="27">
        <v>0</v>
      </c>
      <c r="N323" s="28">
        <f t="shared" si="32"/>
        <v>10000</v>
      </c>
      <c r="O323" s="29">
        <f t="shared" ref="O323:O386" si="33">N323/1</f>
        <v>10000</v>
      </c>
      <c r="P323" s="29">
        <f t="shared" ref="P323:P386" si="34">ROUND(O323,-2)</f>
        <v>10000</v>
      </c>
      <c r="Q323" s="30" t="e" cm="1">
        <f t="array" aca="1" ref="Q323" ca="1">spellNumber(P323)</f>
        <v>#NAME?</v>
      </c>
      <c r="R323" s="31">
        <f t="shared" ref="R323:R386" si="35">P323+200</f>
        <v>10200</v>
      </c>
      <c r="S323" s="32">
        <v>8000</v>
      </c>
      <c r="T323" s="32">
        <v>4000</v>
      </c>
      <c r="U323" s="32">
        <v>4000</v>
      </c>
      <c r="V323" s="32">
        <v>2000</v>
      </c>
      <c r="W323" s="32">
        <v>5000</v>
      </c>
      <c r="X323" s="32">
        <v>0</v>
      </c>
      <c r="Y323" s="32">
        <v>4000</v>
      </c>
      <c r="Z323" s="32">
        <v>5000</v>
      </c>
      <c r="AA323" s="33">
        <v>5000</v>
      </c>
      <c r="AB323" s="34">
        <v>5000</v>
      </c>
      <c r="AC323" s="35">
        <v>0</v>
      </c>
      <c r="AD323" s="36"/>
    </row>
    <row r="324" spans="1:30" ht="16.5" customHeight="1" x14ac:dyDescent="0.25">
      <c r="A324" s="19" t="s">
        <v>1379</v>
      </c>
      <c r="B324" s="19" t="s">
        <v>1380</v>
      </c>
      <c r="C324" s="19" t="s">
        <v>1381</v>
      </c>
      <c r="D324" s="19" t="s">
        <v>1247</v>
      </c>
      <c r="E324" s="20"/>
      <c r="F324" s="21">
        <v>2</v>
      </c>
      <c r="G324" s="22" t="s">
        <v>1382</v>
      </c>
      <c r="H324" s="23">
        <v>3500</v>
      </c>
      <c r="I324" s="24">
        <v>7000</v>
      </c>
      <c r="J324" s="23">
        <v>3000</v>
      </c>
      <c r="K324" s="25">
        <f t="shared" si="30"/>
        <v>4000</v>
      </c>
      <c r="L324" s="26">
        <f t="shared" si="31"/>
        <v>1.1428571428571428</v>
      </c>
      <c r="M324" s="27">
        <v>0</v>
      </c>
      <c r="N324" s="28">
        <f t="shared" si="32"/>
        <v>7000</v>
      </c>
      <c r="O324" s="29">
        <f t="shared" si="33"/>
        <v>7000</v>
      </c>
      <c r="P324" s="29">
        <f t="shared" si="34"/>
        <v>7000</v>
      </c>
      <c r="Q324" s="30" t="e" cm="1">
        <f t="array" aca="1" ref="Q324" ca="1">spellNumber(P324)</f>
        <v>#NAME?</v>
      </c>
      <c r="R324" s="31">
        <f t="shared" si="35"/>
        <v>7200</v>
      </c>
      <c r="S324" s="32">
        <v>0</v>
      </c>
      <c r="T324" s="32">
        <v>11000</v>
      </c>
      <c r="U324" s="32">
        <v>0</v>
      </c>
      <c r="V324" s="32">
        <v>0</v>
      </c>
      <c r="W324" s="32">
        <v>0</v>
      </c>
      <c r="X324" s="32">
        <v>10000</v>
      </c>
      <c r="Y324" s="32">
        <v>0</v>
      </c>
      <c r="Z324" s="32">
        <v>0</v>
      </c>
      <c r="AA324" s="33">
        <v>10000</v>
      </c>
      <c r="AB324" s="34">
        <v>0</v>
      </c>
      <c r="AC324" s="35">
        <v>8000</v>
      </c>
      <c r="AD324" s="36"/>
    </row>
    <row r="325" spans="1:30" ht="16.5" customHeight="1" x14ac:dyDescent="0.25">
      <c r="A325" s="19" t="s">
        <v>1383</v>
      </c>
      <c r="B325" s="19" t="s">
        <v>1384</v>
      </c>
      <c r="C325" s="19" t="s">
        <v>1385</v>
      </c>
      <c r="D325" s="19" t="s">
        <v>1386</v>
      </c>
      <c r="E325" s="20"/>
      <c r="F325" s="21">
        <v>2</v>
      </c>
      <c r="G325" s="22" t="s">
        <v>1387</v>
      </c>
      <c r="H325" s="23">
        <v>2300</v>
      </c>
      <c r="I325" s="24">
        <v>2400</v>
      </c>
      <c r="J325" s="23">
        <v>2400</v>
      </c>
      <c r="K325" s="25">
        <f t="shared" si="30"/>
        <v>0</v>
      </c>
      <c r="L325" s="26">
        <f t="shared" si="31"/>
        <v>0</v>
      </c>
      <c r="M325" s="27">
        <v>0</v>
      </c>
      <c r="N325" s="28">
        <f t="shared" si="32"/>
        <v>2400</v>
      </c>
      <c r="O325" s="29">
        <f t="shared" si="33"/>
        <v>2400</v>
      </c>
      <c r="P325" s="29">
        <f t="shared" si="34"/>
        <v>2400</v>
      </c>
      <c r="Q325" s="30" t="e" cm="1">
        <f t="array" aca="1" ref="Q325" ca="1">spellNumber(P325)</f>
        <v>#NAME?</v>
      </c>
      <c r="R325" s="31">
        <f t="shared" si="35"/>
        <v>2600</v>
      </c>
      <c r="S325" s="32">
        <v>4300</v>
      </c>
      <c r="T325" s="32">
        <v>2300</v>
      </c>
      <c r="U325" s="32">
        <v>2300</v>
      </c>
      <c r="V325" s="32">
        <v>2300</v>
      </c>
      <c r="W325" s="32">
        <v>2300</v>
      </c>
      <c r="X325" s="32">
        <v>2300</v>
      </c>
      <c r="Y325" s="32">
        <v>2300</v>
      </c>
      <c r="Z325" s="32">
        <v>2700</v>
      </c>
      <c r="AA325" s="33">
        <v>2700</v>
      </c>
      <c r="AB325" s="34">
        <v>2700</v>
      </c>
      <c r="AC325" s="35">
        <v>0</v>
      </c>
      <c r="AD325" s="36"/>
    </row>
    <row r="326" spans="1:30" ht="16.5" customHeight="1" x14ac:dyDescent="0.25">
      <c r="A326" s="19" t="s">
        <v>1388</v>
      </c>
      <c r="B326" s="19" t="s">
        <v>1389</v>
      </c>
      <c r="C326" s="19" t="s">
        <v>438</v>
      </c>
      <c r="D326" s="19" t="s">
        <v>493</v>
      </c>
      <c r="E326" s="20"/>
      <c r="F326" s="21">
        <v>1</v>
      </c>
      <c r="G326" s="22" t="s">
        <v>1390</v>
      </c>
      <c r="H326" s="23">
        <v>1200</v>
      </c>
      <c r="I326" s="24">
        <v>12200</v>
      </c>
      <c r="J326" s="23">
        <v>0</v>
      </c>
      <c r="K326" s="25">
        <f t="shared" si="30"/>
        <v>12200</v>
      </c>
      <c r="L326" s="26">
        <f t="shared" si="31"/>
        <v>10.166666666666666</v>
      </c>
      <c r="M326" s="27">
        <v>0</v>
      </c>
      <c r="N326" s="28">
        <f t="shared" si="32"/>
        <v>12200</v>
      </c>
      <c r="O326" s="29">
        <f t="shared" si="33"/>
        <v>12200</v>
      </c>
      <c r="P326" s="29">
        <f t="shared" si="34"/>
        <v>12200</v>
      </c>
      <c r="Q326" s="30" t="e" cm="1">
        <f t="array" aca="1" ref="Q326" ca="1">spellNumber(P326)</f>
        <v>#NAME?</v>
      </c>
      <c r="R326" s="31">
        <f t="shared" si="35"/>
        <v>12400</v>
      </c>
      <c r="S326" s="32">
        <v>1200</v>
      </c>
      <c r="T326" s="32">
        <v>0</v>
      </c>
      <c r="U326" s="32">
        <v>1000</v>
      </c>
      <c r="V326" s="32">
        <v>0</v>
      </c>
      <c r="W326" s="32">
        <v>0</v>
      </c>
      <c r="X326" s="32">
        <v>0</v>
      </c>
      <c r="Y326" s="32">
        <v>0</v>
      </c>
      <c r="Z326" s="32">
        <v>0</v>
      </c>
      <c r="AA326" s="33">
        <v>0</v>
      </c>
      <c r="AB326" s="34">
        <v>0</v>
      </c>
      <c r="AC326" s="35">
        <v>0</v>
      </c>
      <c r="AD326" s="36"/>
    </row>
    <row r="327" spans="1:30" ht="16.5" customHeight="1" x14ac:dyDescent="0.25">
      <c r="A327" s="19" t="s">
        <v>1391</v>
      </c>
      <c r="B327" s="19" t="s">
        <v>1392</v>
      </c>
      <c r="C327" s="19" t="s">
        <v>1393</v>
      </c>
      <c r="D327" s="19" t="s">
        <v>493</v>
      </c>
      <c r="E327" s="20"/>
      <c r="F327" s="21">
        <v>1</v>
      </c>
      <c r="G327" s="22" t="s">
        <v>1394</v>
      </c>
      <c r="H327" s="23">
        <v>1700</v>
      </c>
      <c r="I327" s="24">
        <v>5100</v>
      </c>
      <c r="J327" s="23">
        <v>5100</v>
      </c>
      <c r="K327" s="25">
        <f t="shared" si="30"/>
        <v>0</v>
      </c>
      <c r="L327" s="26">
        <f t="shared" si="31"/>
        <v>0</v>
      </c>
      <c r="M327" s="27">
        <v>0</v>
      </c>
      <c r="N327" s="28">
        <f t="shared" si="32"/>
        <v>5100</v>
      </c>
      <c r="O327" s="29">
        <f t="shared" si="33"/>
        <v>5100</v>
      </c>
      <c r="P327" s="29">
        <f t="shared" si="34"/>
        <v>5100</v>
      </c>
      <c r="Q327" s="30" t="e" cm="1">
        <f t="array" aca="1" ref="Q327" ca="1">spellNumber(P327)</f>
        <v>#NAME?</v>
      </c>
      <c r="R327" s="31">
        <f t="shared" si="35"/>
        <v>5300</v>
      </c>
      <c r="S327" s="32">
        <v>3200</v>
      </c>
      <c r="T327" s="32">
        <v>0</v>
      </c>
      <c r="U327" s="32">
        <v>5100</v>
      </c>
      <c r="V327" s="32">
        <v>0</v>
      </c>
      <c r="W327" s="32">
        <v>3400</v>
      </c>
      <c r="X327" s="32">
        <v>0</v>
      </c>
      <c r="Y327" s="32">
        <v>0</v>
      </c>
      <c r="Z327" s="32">
        <v>0</v>
      </c>
      <c r="AA327" s="33">
        <v>5100</v>
      </c>
      <c r="AB327" s="34">
        <v>0</v>
      </c>
      <c r="AC327" s="35">
        <v>0</v>
      </c>
      <c r="AD327" s="36"/>
    </row>
    <row r="328" spans="1:30" ht="16.5" customHeight="1" x14ac:dyDescent="0.25">
      <c r="A328" s="19" t="s">
        <v>1395</v>
      </c>
      <c r="B328" s="19" t="s">
        <v>1396</v>
      </c>
      <c r="C328" s="19" t="s">
        <v>1397</v>
      </c>
      <c r="D328" s="19" t="s">
        <v>1377</v>
      </c>
      <c r="E328" s="20"/>
      <c r="F328" s="21">
        <v>2</v>
      </c>
      <c r="G328" s="48" t="s">
        <v>956</v>
      </c>
      <c r="H328" s="23">
        <v>3600</v>
      </c>
      <c r="I328" s="24">
        <v>12000</v>
      </c>
      <c r="J328" s="23">
        <v>3600</v>
      </c>
      <c r="K328" s="25">
        <f t="shared" si="30"/>
        <v>8400</v>
      </c>
      <c r="L328" s="26">
        <f t="shared" si="31"/>
        <v>2.3333333333333335</v>
      </c>
      <c r="M328" s="27">
        <v>0</v>
      </c>
      <c r="N328" s="28">
        <f t="shared" si="32"/>
        <v>12000</v>
      </c>
      <c r="O328" s="29">
        <f t="shared" si="33"/>
        <v>12000</v>
      </c>
      <c r="P328" s="29">
        <f t="shared" si="34"/>
        <v>12000</v>
      </c>
      <c r="Q328" s="30" t="e" cm="1">
        <f t="array" aca="1" ref="Q328" ca="1">spellNumber(P328)</f>
        <v>#NAME?</v>
      </c>
      <c r="R328" s="31">
        <f t="shared" si="35"/>
        <v>12200</v>
      </c>
      <c r="S328" s="32">
        <v>3800</v>
      </c>
      <c r="T328" s="32">
        <v>4000</v>
      </c>
      <c r="U328" s="32">
        <v>4000</v>
      </c>
      <c r="V328" s="32">
        <v>4000</v>
      </c>
      <c r="W328" s="32">
        <v>4000</v>
      </c>
      <c r="X328" s="32">
        <v>4000</v>
      </c>
      <c r="Y328" s="32">
        <v>3600</v>
      </c>
      <c r="Z328" s="32">
        <v>0</v>
      </c>
      <c r="AA328" s="33">
        <v>0</v>
      </c>
      <c r="AB328" s="34">
        <v>0</v>
      </c>
      <c r="AC328" s="35">
        <v>3600</v>
      </c>
      <c r="AD328" s="36"/>
    </row>
    <row r="329" spans="1:30" ht="16.5" customHeight="1" x14ac:dyDescent="0.25">
      <c r="A329" s="19" t="s">
        <v>1398</v>
      </c>
      <c r="B329" s="19" t="s">
        <v>1389</v>
      </c>
      <c r="C329" s="19" t="s">
        <v>1399</v>
      </c>
      <c r="D329" s="19" t="s">
        <v>493</v>
      </c>
      <c r="E329" s="20"/>
      <c r="F329" s="21">
        <v>1</v>
      </c>
      <c r="G329" s="47" t="s">
        <v>1400</v>
      </c>
      <c r="H329" s="23">
        <v>1800</v>
      </c>
      <c r="I329" s="24">
        <v>4750</v>
      </c>
      <c r="J329" s="23">
        <v>0</v>
      </c>
      <c r="K329" s="25">
        <f t="shared" si="30"/>
        <v>4750</v>
      </c>
      <c r="L329" s="26">
        <f t="shared" si="31"/>
        <v>2.6388888888888888</v>
      </c>
      <c r="M329" s="27">
        <v>0</v>
      </c>
      <c r="N329" s="28">
        <f t="shared" si="32"/>
        <v>4750</v>
      </c>
      <c r="O329" s="29">
        <f t="shared" si="33"/>
        <v>4750</v>
      </c>
      <c r="P329" s="29">
        <f t="shared" si="34"/>
        <v>4800</v>
      </c>
      <c r="Q329" s="30" t="e" cm="1">
        <f t="array" aca="1" ref="Q329" ca="1">spellNumber(P329)</f>
        <v>#NAME?</v>
      </c>
      <c r="R329" s="31">
        <f t="shared" si="35"/>
        <v>5000</v>
      </c>
      <c r="S329" s="32">
        <v>0</v>
      </c>
      <c r="T329" s="32">
        <v>3000</v>
      </c>
      <c r="U329" s="32">
        <v>0</v>
      </c>
      <c r="V329" s="32">
        <v>0</v>
      </c>
      <c r="W329" s="32">
        <v>5000</v>
      </c>
      <c r="X329" s="32">
        <v>3000</v>
      </c>
      <c r="Y329" s="32">
        <v>0</v>
      </c>
      <c r="Z329" s="32">
        <v>0</v>
      </c>
      <c r="AA329" s="33">
        <v>3150</v>
      </c>
      <c r="AB329" s="34">
        <v>0</v>
      </c>
      <c r="AC329" s="35">
        <v>4700</v>
      </c>
      <c r="AD329" s="36"/>
    </row>
    <row r="330" spans="1:30" ht="16.5" customHeight="1" x14ac:dyDescent="0.25">
      <c r="A330" s="19" t="s">
        <v>1401</v>
      </c>
      <c r="B330" s="19" t="s">
        <v>1402</v>
      </c>
      <c r="C330" s="19" t="s">
        <v>1403</v>
      </c>
      <c r="D330" s="19" t="s">
        <v>1404</v>
      </c>
      <c r="E330" s="20" t="s">
        <v>34</v>
      </c>
      <c r="F330" s="21">
        <v>4</v>
      </c>
      <c r="G330" s="22" t="s">
        <v>1405</v>
      </c>
      <c r="H330" s="23">
        <v>7000</v>
      </c>
      <c r="I330" s="24">
        <v>25000</v>
      </c>
      <c r="J330" s="23">
        <v>0</v>
      </c>
      <c r="K330" s="25">
        <f t="shared" si="30"/>
        <v>25000</v>
      </c>
      <c r="L330" s="26">
        <f t="shared" si="31"/>
        <v>3.5714285714285716</v>
      </c>
      <c r="M330" s="27">
        <v>0</v>
      </c>
      <c r="N330" s="28">
        <f t="shared" si="32"/>
        <v>25000</v>
      </c>
      <c r="O330" s="29">
        <f t="shared" si="33"/>
        <v>25000</v>
      </c>
      <c r="P330" s="29">
        <f t="shared" si="34"/>
        <v>25000</v>
      </c>
      <c r="Q330" s="30" t="e" cm="1">
        <f t="array" aca="1" ref="Q330" ca="1">spellNumber(P330)</f>
        <v>#NAME?</v>
      </c>
      <c r="R330" s="31">
        <f t="shared" si="35"/>
        <v>25200</v>
      </c>
      <c r="S330" s="32">
        <v>0</v>
      </c>
      <c r="T330" s="32">
        <v>10000</v>
      </c>
      <c r="U330" s="32">
        <v>10000</v>
      </c>
      <c r="V330" s="32">
        <v>0</v>
      </c>
      <c r="W330" s="32">
        <v>0</v>
      </c>
      <c r="X330" s="32">
        <v>10000</v>
      </c>
      <c r="Y330" s="32">
        <v>7000</v>
      </c>
      <c r="Z330" s="32">
        <v>7000</v>
      </c>
      <c r="AA330" s="33">
        <v>7000</v>
      </c>
      <c r="AB330" s="34">
        <v>0</v>
      </c>
      <c r="AC330" s="35">
        <v>7000</v>
      </c>
      <c r="AD330" s="36"/>
    </row>
    <row r="331" spans="1:30" ht="16.5" customHeight="1" x14ac:dyDescent="0.25">
      <c r="A331" s="19" t="s">
        <v>1406</v>
      </c>
      <c r="B331" s="19" t="s">
        <v>1407</v>
      </c>
      <c r="C331" s="19" t="s">
        <v>1408</v>
      </c>
      <c r="D331" s="19" t="s">
        <v>1347</v>
      </c>
      <c r="E331" s="20"/>
      <c r="F331" s="21">
        <v>2</v>
      </c>
      <c r="G331" s="22" t="s">
        <v>1409</v>
      </c>
      <c r="H331" s="23">
        <v>3500</v>
      </c>
      <c r="I331" s="24">
        <v>29600</v>
      </c>
      <c r="J331" s="23">
        <v>15000</v>
      </c>
      <c r="K331" s="25">
        <f t="shared" si="30"/>
        <v>14600</v>
      </c>
      <c r="L331" s="26">
        <f t="shared" si="31"/>
        <v>4.1714285714285717</v>
      </c>
      <c r="M331" s="27">
        <v>0</v>
      </c>
      <c r="N331" s="28">
        <f t="shared" si="32"/>
        <v>29600</v>
      </c>
      <c r="O331" s="29">
        <f t="shared" si="33"/>
        <v>29600</v>
      </c>
      <c r="P331" s="29">
        <f t="shared" si="34"/>
        <v>29600</v>
      </c>
      <c r="Q331" s="30" t="e" cm="1">
        <f t="array" aca="1" ref="Q331" ca="1">spellNumber(P331)</f>
        <v>#NAME?</v>
      </c>
      <c r="R331" s="31">
        <f t="shared" si="35"/>
        <v>29800</v>
      </c>
      <c r="S331" s="32">
        <v>0</v>
      </c>
      <c r="T331" s="32">
        <v>6000</v>
      </c>
      <c r="U331" s="32">
        <v>5000</v>
      </c>
      <c r="V331" s="32">
        <v>0</v>
      </c>
      <c r="W331" s="32">
        <v>0</v>
      </c>
      <c r="X331" s="32">
        <v>0</v>
      </c>
      <c r="Y331" s="32">
        <v>0</v>
      </c>
      <c r="Z331" s="32">
        <v>7400</v>
      </c>
      <c r="AA331" s="33">
        <v>0</v>
      </c>
      <c r="AB331" s="34">
        <v>0</v>
      </c>
      <c r="AC331" s="35">
        <v>0</v>
      </c>
      <c r="AD331" s="36"/>
    </row>
    <row r="332" spans="1:30" ht="16.5" customHeight="1" x14ac:dyDescent="0.25">
      <c r="A332" s="19" t="s">
        <v>1410</v>
      </c>
      <c r="B332" s="19" t="s">
        <v>1411</v>
      </c>
      <c r="C332" s="19" t="s">
        <v>912</v>
      </c>
      <c r="D332" s="19" t="s">
        <v>1377</v>
      </c>
      <c r="E332" s="20"/>
      <c r="F332" s="21">
        <v>2</v>
      </c>
      <c r="G332" s="22" t="s">
        <v>1412</v>
      </c>
      <c r="H332" s="23">
        <v>3900</v>
      </c>
      <c r="I332" s="24">
        <v>7700</v>
      </c>
      <c r="J332" s="23">
        <v>7700</v>
      </c>
      <c r="K332" s="25">
        <f t="shared" si="30"/>
        <v>0</v>
      </c>
      <c r="L332" s="26">
        <f t="shared" si="31"/>
        <v>0</v>
      </c>
      <c r="M332" s="27">
        <v>0</v>
      </c>
      <c r="N332" s="28">
        <f t="shared" si="32"/>
        <v>7700</v>
      </c>
      <c r="O332" s="29">
        <f t="shared" si="33"/>
        <v>7700</v>
      </c>
      <c r="P332" s="29">
        <f t="shared" si="34"/>
        <v>7700</v>
      </c>
      <c r="Q332" s="30" t="e" cm="1">
        <f t="array" aca="1" ref="Q332" ca="1">spellNumber(P332)</f>
        <v>#NAME?</v>
      </c>
      <c r="R332" s="31">
        <f t="shared" si="35"/>
        <v>7900</v>
      </c>
      <c r="S332" s="32">
        <v>11200</v>
      </c>
      <c r="T332" s="32">
        <v>0</v>
      </c>
      <c r="U332" s="32">
        <v>0</v>
      </c>
      <c r="V332" s="32">
        <v>4000</v>
      </c>
      <c r="W332" s="32">
        <v>4200</v>
      </c>
      <c r="X332" s="32">
        <v>0</v>
      </c>
      <c r="Y332" s="32">
        <v>10000</v>
      </c>
      <c r="Z332" s="32">
        <v>0</v>
      </c>
      <c r="AA332" s="33">
        <v>6000</v>
      </c>
      <c r="AB332" s="34">
        <v>7000</v>
      </c>
      <c r="AC332" s="35">
        <v>4000</v>
      </c>
      <c r="AD332" s="36"/>
    </row>
    <row r="333" spans="1:30" ht="16.5" customHeight="1" x14ac:dyDescent="0.25">
      <c r="A333" s="19" t="s">
        <v>1413</v>
      </c>
      <c r="B333" s="19" t="s">
        <v>1414</v>
      </c>
      <c r="C333" s="19" t="s">
        <v>1415</v>
      </c>
      <c r="D333" s="19" t="s">
        <v>1416</v>
      </c>
      <c r="E333" s="20" t="s">
        <v>40</v>
      </c>
      <c r="F333" s="21">
        <v>3</v>
      </c>
      <c r="G333" s="22" t="s">
        <v>1417</v>
      </c>
      <c r="H333" s="23">
        <v>5500</v>
      </c>
      <c r="I333" s="24">
        <v>17100</v>
      </c>
      <c r="J333" s="23">
        <v>17100</v>
      </c>
      <c r="K333" s="25">
        <f t="shared" si="30"/>
        <v>0</v>
      </c>
      <c r="L333" s="26">
        <f t="shared" si="31"/>
        <v>0</v>
      </c>
      <c r="M333" s="27">
        <v>0</v>
      </c>
      <c r="N333" s="28">
        <f t="shared" si="32"/>
        <v>17100</v>
      </c>
      <c r="O333" s="29">
        <f t="shared" si="33"/>
        <v>17100</v>
      </c>
      <c r="P333" s="29">
        <f t="shared" si="34"/>
        <v>17100</v>
      </c>
      <c r="Q333" s="30" t="e" cm="1">
        <f t="array" aca="1" ref="Q333" ca="1">spellNumber(P333)</f>
        <v>#NAME?</v>
      </c>
      <c r="R333" s="31">
        <f t="shared" si="35"/>
        <v>17300</v>
      </c>
      <c r="S333" s="32">
        <v>0</v>
      </c>
      <c r="T333" s="32">
        <v>16000</v>
      </c>
      <c r="U333" s="32">
        <v>5500</v>
      </c>
      <c r="V333" s="32">
        <v>0</v>
      </c>
      <c r="W333" s="32">
        <v>0</v>
      </c>
      <c r="X333" s="32">
        <v>21000</v>
      </c>
      <c r="Y333" s="32">
        <v>0</v>
      </c>
      <c r="Z333" s="32">
        <v>5700</v>
      </c>
      <c r="AA333" s="33">
        <v>5700</v>
      </c>
      <c r="AB333" s="34">
        <v>0</v>
      </c>
      <c r="AC333" s="35">
        <v>0</v>
      </c>
      <c r="AD333" s="36"/>
    </row>
    <row r="334" spans="1:30" ht="16.5" customHeight="1" x14ac:dyDescent="0.25">
      <c r="A334" s="19" t="s">
        <v>1418</v>
      </c>
      <c r="B334" s="19" t="s">
        <v>1419</v>
      </c>
      <c r="C334" s="19" t="s">
        <v>1420</v>
      </c>
      <c r="D334" s="19" t="s">
        <v>1377</v>
      </c>
      <c r="E334" s="20"/>
      <c r="F334" s="21">
        <v>2</v>
      </c>
      <c r="G334" s="22" t="s">
        <v>1421</v>
      </c>
      <c r="H334" s="23">
        <v>4100</v>
      </c>
      <c r="I334" s="24">
        <v>4100</v>
      </c>
      <c r="J334" s="23">
        <v>0</v>
      </c>
      <c r="K334" s="25">
        <f t="shared" si="30"/>
        <v>4100</v>
      </c>
      <c r="L334" s="26">
        <f t="shared" si="31"/>
        <v>1</v>
      </c>
      <c r="M334" s="27">
        <v>0</v>
      </c>
      <c r="N334" s="28">
        <f t="shared" si="32"/>
        <v>4100</v>
      </c>
      <c r="O334" s="29">
        <f t="shared" si="33"/>
        <v>4100</v>
      </c>
      <c r="P334" s="29">
        <f t="shared" si="34"/>
        <v>4100</v>
      </c>
      <c r="Q334" s="30" t="e" cm="1">
        <f t="array" aca="1" ref="Q334" ca="1">spellNumber(P334)</f>
        <v>#NAME?</v>
      </c>
      <c r="R334" s="31">
        <f t="shared" si="35"/>
        <v>4300</v>
      </c>
      <c r="S334" s="32">
        <v>0</v>
      </c>
      <c r="T334" s="32">
        <v>17100</v>
      </c>
      <c r="U334" s="32">
        <v>0</v>
      </c>
      <c r="V334" s="32">
        <v>8200</v>
      </c>
      <c r="W334" s="32">
        <v>0</v>
      </c>
      <c r="X334" s="32">
        <v>8200</v>
      </c>
      <c r="Y334" s="32">
        <v>4100</v>
      </c>
      <c r="Z334" s="32">
        <v>4100</v>
      </c>
      <c r="AA334" s="33">
        <v>4100</v>
      </c>
      <c r="AB334" s="34">
        <v>0</v>
      </c>
      <c r="AC334" s="35">
        <v>4100</v>
      </c>
      <c r="AD334" s="36"/>
    </row>
    <row r="335" spans="1:30" ht="16.5" customHeight="1" x14ac:dyDescent="0.25">
      <c r="A335" s="19" t="s">
        <v>1422</v>
      </c>
      <c r="B335" s="19" t="s">
        <v>1423</v>
      </c>
      <c r="C335" s="19" t="s">
        <v>1424</v>
      </c>
      <c r="D335" s="19" t="s">
        <v>1354</v>
      </c>
      <c r="E335" s="20"/>
      <c r="F335" s="21">
        <v>2</v>
      </c>
      <c r="G335" s="47" t="s">
        <v>1425</v>
      </c>
      <c r="H335" s="23">
        <v>3100</v>
      </c>
      <c r="I335" s="24">
        <v>4600</v>
      </c>
      <c r="J335" s="23">
        <v>0</v>
      </c>
      <c r="K335" s="25">
        <f t="shared" si="30"/>
        <v>4600</v>
      </c>
      <c r="L335" s="26">
        <f t="shared" si="31"/>
        <v>1.4838709677419355</v>
      </c>
      <c r="M335" s="27">
        <v>0</v>
      </c>
      <c r="N335" s="28">
        <f t="shared" si="32"/>
        <v>4600</v>
      </c>
      <c r="O335" s="29">
        <f t="shared" si="33"/>
        <v>4600</v>
      </c>
      <c r="P335" s="29">
        <f t="shared" si="34"/>
        <v>4600</v>
      </c>
      <c r="Q335" s="30" t="e" cm="1">
        <f t="array" aca="1" ref="Q335" ca="1">spellNumber(P335)</f>
        <v>#NAME?</v>
      </c>
      <c r="R335" s="31">
        <f t="shared" si="35"/>
        <v>4800</v>
      </c>
      <c r="S335" s="32">
        <v>4000</v>
      </c>
      <c r="T335" s="32">
        <v>5200</v>
      </c>
      <c r="U335" s="32">
        <v>1500</v>
      </c>
      <c r="V335" s="32">
        <v>1800</v>
      </c>
      <c r="W335" s="32">
        <v>1800</v>
      </c>
      <c r="X335" s="32">
        <v>1800</v>
      </c>
      <c r="Y335" s="32">
        <v>5500</v>
      </c>
      <c r="Z335" s="32">
        <v>0</v>
      </c>
      <c r="AA335" s="33">
        <v>0</v>
      </c>
      <c r="AB335" s="34">
        <v>4800</v>
      </c>
      <c r="AC335" s="35">
        <v>3100</v>
      </c>
      <c r="AD335" s="36"/>
    </row>
    <row r="336" spans="1:30" ht="16.5" customHeight="1" x14ac:dyDescent="0.25">
      <c r="A336" s="19" t="s">
        <v>1426</v>
      </c>
      <c r="B336" s="19" t="s">
        <v>1427</v>
      </c>
      <c r="C336" s="19" t="s">
        <v>438</v>
      </c>
      <c r="D336" s="19" t="s">
        <v>1347</v>
      </c>
      <c r="E336" s="20"/>
      <c r="F336" s="21">
        <v>2</v>
      </c>
      <c r="G336" s="22" t="s">
        <v>1425</v>
      </c>
      <c r="H336" s="23">
        <v>3600</v>
      </c>
      <c r="I336" s="24">
        <v>3600</v>
      </c>
      <c r="J336" s="23">
        <v>3600</v>
      </c>
      <c r="K336" s="25">
        <f t="shared" si="30"/>
        <v>0</v>
      </c>
      <c r="L336" s="26">
        <f t="shared" si="31"/>
        <v>0</v>
      </c>
      <c r="M336" s="27">
        <v>0</v>
      </c>
      <c r="N336" s="28">
        <f t="shared" si="32"/>
        <v>3600</v>
      </c>
      <c r="O336" s="29">
        <f t="shared" si="33"/>
        <v>3600</v>
      </c>
      <c r="P336" s="29">
        <f t="shared" si="34"/>
        <v>3600</v>
      </c>
      <c r="Q336" s="30" t="e" cm="1">
        <f t="array" aca="1" ref="Q336" ca="1">spellNumber(P336)</f>
        <v>#NAME?</v>
      </c>
      <c r="R336" s="31">
        <f t="shared" si="35"/>
        <v>3800</v>
      </c>
      <c r="S336" s="32">
        <v>0</v>
      </c>
      <c r="T336" s="32">
        <v>10100</v>
      </c>
      <c r="U336" s="32">
        <v>3600</v>
      </c>
      <c r="V336" s="32">
        <v>3800</v>
      </c>
      <c r="W336" s="32">
        <v>3500</v>
      </c>
      <c r="X336" s="32">
        <v>3600</v>
      </c>
      <c r="Y336" s="32">
        <v>3600</v>
      </c>
      <c r="Z336" s="32">
        <v>3600</v>
      </c>
      <c r="AA336" s="33">
        <v>3600</v>
      </c>
      <c r="AB336" s="34">
        <v>3600</v>
      </c>
      <c r="AC336" s="35">
        <v>3600</v>
      </c>
      <c r="AD336" s="36"/>
    </row>
    <row r="337" spans="1:30" ht="16.5" customHeight="1" x14ac:dyDescent="0.25">
      <c r="A337" s="19" t="s">
        <v>1428</v>
      </c>
      <c r="B337" s="19" t="s">
        <v>1429</v>
      </c>
      <c r="C337" s="19" t="s">
        <v>1430</v>
      </c>
      <c r="D337" s="19" t="s">
        <v>493</v>
      </c>
      <c r="E337" s="20"/>
      <c r="F337" s="21">
        <v>1</v>
      </c>
      <c r="G337" s="47" t="s">
        <v>1136</v>
      </c>
      <c r="H337" s="23">
        <v>2200</v>
      </c>
      <c r="I337" s="24">
        <v>4150</v>
      </c>
      <c r="J337" s="23">
        <v>0</v>
      </c>
      <c r="K337" s="25">
        <f t="shared" si="30"/>
        <v>4150</v>
      </c>
      <c r="L337" s="26">
        <f t="shared" si="31"/>
        <v>1.8863636363636365</v>
      </c>
      <c r="M337" s="27">
        <v>0</v>
      </c>
      <c r="N337" s="28">
        <f t="shared" si="32"/>
        <v>4150</v>
      </c>
      <c r="O337" s="29">
        <f t="shared" si="33"/>
        <v>4150</v>
      </c>
      <c r="P337" s="29">
        <f t="shared" si="34"/>
        <v>4200</v>
      </c>
      <c r="Q337" s="30" t="e" cm="1">
        <f t="array" aca="1" ref="Q337" ca="1">spellNumber(P337)</f>
        <v>#NAME?</v>
      </c>
      <c r="R337" s="31">
        <f t="shared" si="35"/>
        <v>4400</v>
      </c>
      <c r="S337" s="32">
        <v>4700</v>
      </c>
      <c r="T337" s="32">
        <v>2200</v>
      </c>
      <c r="U337" s="32">
        <v>2200</v>
      </c>
      <c r="V337" s="32">
        <v>2200</v>
      </c>
      <c r="W337" s="32">
        <v>2200</v>
      </c>
      <c r="X337" s="32">
        <v>2200</v>
      </c>
      <c r="Y337" s="32">
        <v>0</v>
      </c>
      <c r="Z337" s="32">
        <v>2200</v>
      </c>
      <c r="AA337" s="33">
        <v>2750</v>
      </c>
      <c r="AB337" s="34">
        <v>0</v>
      </c>
      <c r="AC337" s="35">
        <v>4100</v>
      </c>
      <c r="AD337" s="36"/>
    </row>
    <row r="338" spans="1:30" ht="16.5" customHeight="1" x14ac:dyDescent="0.25">
      <c r="A338" s="19" t="s">
        <v>1431</v>
      </c>
      <c r="B338" s="19" t="s">
        <v>1432</v>
      </c>
      <c r="C338" s="19" t="s">
        <v>1433</v>
      </c>
      <c r="D338" s="19" t="s">
        <v>1434</v>
      </c>
      <c r="E338" s="20"/>
      <c r="F338" s="21">
        <v>2</v>
      </c>
      <c r="G338" s="22" t="s">
        <v>1435</v>
      </c>
      <c r="H338" s="23">
        <v>4400</v>
      </c>
      <c r="I338" s="24">
        <v>4400</v>
      </c>
      <c r="J338" s="23">
        <v>4400</v>
      </c>
      <c r="K338" s="25">
        <f t="shared" si="30"/>
        <v>0</v>
      </c>
      <c r="L338" s="26">
        <f t="shared" si="31"/>
        <v>0</v>
      </c>
      <c r="M338" s="27">
        <v>0</v>
      </c>
      <c r="N338" s="28">
        <f t="shared" si="32"/>
        <v>4400</v>
      </c>
      <c r="O338" s="29">
        <f t="shared" si="33"/>
        <v>4400</v>
      </c>
      <c r="P338" s="29">
        <f t="shared" si="34"/>
        <v>4400</v>
      </c>
      <c r="Q338" s="30" t="e" cm="1">
        <f t="array" aca="1" ref="Q338" ca="1">spellNumber(P338)</f>
        <v>#NAME?</v>
      </c>
      <c r="R338" s="31">
        <f t="shared" si="35"/>
        <v>4600</v>
      </c>
      <c r="S338" s="32">
        <v>0</v>
      </c>
      <c r="T338" s="32">
        <v>0</v>
      </c>
      <c r="U338" s="32">
        <v>13200</v>
      </c>
      <c r="V338" s="32">
        <v>0</v>
      </c>
      <c r="W338" s="32">
        <v>0</v>
      </c>
      <c r="X338" s="32">
        <v>13200</v>
      </c>
      <c r="Y338" s="32">
        <v>0</v>
      </c>
      <c r="Z338" s="32">
        <v>0</v>
      </c>
      <c r="AA338" s="33">
        <v>0</v>
      </c>
      <c r="AB338" s="34">
        <v>13000</v>
      </c>
      <c r="AC338" s="35">
        <v>4600</v>
      </c>
      <c r="AD338" s="36"/>
    </row>
    <row r="339" spans="1:30" ht="16.5" customHeight="1" x14ac:dyDescent="0.25">
      <c r="A339" s="19" t="s">
        <v>1436</v>
      </c>
      <c r="B339" s="19" t="s">
        <v>1437</v>
      </c>
      <c r="C339" s="19" t="s">
        <v>1438</v>
      </c>
      <c r="D339" s="19" t="s">
        <v>93</v>
      </c>
      <c r="E339" s="20" t="s">
        <v>40</v>
      </c>
      <c r="F339" s="21">
        <v>1</v>
      </c>
      <c r="G339" s="22" t="s">
        <v>1439</v>
      </c>
      <c r="H339" s="23">
        <v>2500</v>
      </c>
      <c r="I339" s="24">
        <v>7500</v>
      </c>
      <c r="J339" s="23">
        <v>5000</v>
      </c>
      <c r="K339" s="25">
        <f t="shared" si="30"/>
        <v>2500</v>
      </c>
      <c r="L339" s="26">
        <f t="shared" si="31"/>
        <v>1</v>
      </c>
      <c r="M339" s="27">
        <v>0</v>
      </c>
      <c r="N339" s="28">
        <f t="shared" si="32"/>
        <v>7500</v>
      </c>
      <c r="O339" s="29">
        <f t="shared" si="33"/>
        <v>7500</v>
      </c>
      <c r="P339" s="29">
        <f t="shared" si="34"/>
        <v>7500</v>
      </c>
      <c r="Q339" s="30" t="e" cm="1">
        <f t="array" aca="1" ref="Q339" ca="1">spellNumber(P339)</f>
        <v>#NAME?</v>
      </c>
      <c r="R339" s="31">
        <f t="shared" si="35"/>
        <v>7700</v>
      </c>
      <c r="S339" s="32">
        <v>5500</v>
      </c>
      <c r="T339" s="32">
        <v>0</v>
      </c>
      <c r="U339" s="32">
        <v>0</v>
      </c>
      <c r="V339" s="32">
        <v>0</v>
      </c>
      <c r="W339" s="32">
        <v>5000</v>
      </c>
      <c r="X339" s="32">
        <v>0</v>
      </c>
      <c r="Y339" s="32">
        <v>5000</v>
      </c>
      <c r="Z339" s="32">
        <v>0</v>
      </c>
      <c r="AA339" s="33">
        <v>5000</v>
      </c>
      <c r="AB339" s="34">
        <v>0</v>
      </c>
      <c r="AC339" s="35">
        <v>5000</v>
      </c>
      <c r="AD339" s="36"/>
    </row>
    <row r="340" spans="1:30" ht="16.5" customHeight="1" x14ac:dyDescent="0.25">
      <c r="A340" s="19" t="s">
        <v>1440</v>
      </c>
      <c r="B340" s="19" t="s">
        <v>1441</v>
      </c>
      <c r="C340" s="19" t="s">
        <v>1442</v>
      </c>
      <c r="D340" s="19" t="s">
        <v>1287</v>
      </c>
      <c r="E340" s="20"/>
      <c r="F340" s="21">
        <v>2</v>
      </c>
      <c r="G340" s="22" t="s">
        <v>1443</v>
      </c>
      <c r="H340" s="23">
        <v>3500</v>
      </c>
      <c r="I340" s="24">
        <v>3500</v>
      </c>
      <c r="J340" s="23">
        <v>3500</v>
      </c>
      <c r="K340" s="25">
        <f t="shared" si="30"/>
        <v>0</v>
      </c>
      <c r="L340" s="26">
        <f t="shared" si="31"/>
        <v>0</v>
      </c>
      <c r="M340" s="27">
        <v>0</v>
      </c>
      <c r="N340" s="28">
        <f t="shared" si="32"/>
        <v>3500</v>
      </c>
      <c r="O340" s="29">
        <f t="shared" si="33"/>
        <v>3500</v>
      </c>
      <c r="P340" s="29">
        <f t="shared" si="34"/>
        <v>3500</v>
      </c>
      <c r="Q340" s="30" t="e" cm="1">
        <f t="array" aca="1" ref="Q340" ca="1">spellNumber(P340)</f>
        <v>#NAME?</v>
      </c>
      <c r="R340" s="31">
        <f t="shared" si="35"/>
        <v>3700</v>
      </c>
      <c r="S340" s="32">
        <v>7500</v>
      </c>
      <c r="T340" s="32">
        <v>3500</v>
      </c>
      <c r="U340" s="32">
        <v>3500</v>
      </c>
      <c r="V340" s="32">
        <v>0</v>
      </c>
      <c r="W340" s="32">
        <v>0</v>
      </c>
      <c r="X340" s="32">
        <v>10500</v>
      </c>
      <c r="Y340" s="32">
        <v>3500</v>
      </c>
      <c r="Z340" s="32">
        <v>3500</v>
      </c>
      <c r="AA340" s="33">
        <v>3500</v>
      </c>
      <c r="AB340" s="34">
        <v>0</v>
      </c>
      <c r="AC340" s="35">
        <v>7000</v>
      </c>
      <c r="AD340" s="36"/>
    </row>
    <row r="341" spans="1:30" ht="16.5" customHeight="1" x14ac:dyDescent="0.25">
      <c r="A341" s="19" t="s">
        <v>1444</v>
      </c>
      <c r="B341" s="19" t="s">
        <v>1445</v>
      </c>
      <c r="C341" s="19" t="s">
        <v>1446</v>
      </c>
      <c r="D341" s="19" t="s">
        <v>1447</v>
      </c>
      <c r="E341" s="20"/>
      <c r="F341" s="21">
        <v>1</v>
      </c>
      <c r="G341" s="22" t="s">
        <v>1279</v>
      </c>
      <c r="H341" s="23">
        <v>1800</v>
      </c>
      <c r="I341" s="24">
        <v>2160</v>
      </c>
      <c r="J341" s="23">
        <v>2160</v>
      </c>
      <c r="K341" s="25">
        <f t="shared" si="30"/>
        <v>0</v>
      </c>
      <c r="L341" s="26">
        <f t="shared" si="31"/>
        <v>0</v>
      </c>
      <c r="M341" s="27">
        <v>0</v>
      </c>
      <c r="N341" s="28">
        <f t="shared" si="32"/>
        <v>2160</v>
      </c>
      <c r="O341" s="29">
        <f t="shared" si="33"/>
        <v>2160</v>
      </c>
      <c r="P341" s="29">
        <f t="shared" si="34"/>
        <v>2200</v>
      </c>
      <c r="Q341" s="30" t="e" cm="1">
        <f t="array" aca="1" ref="Q341" ca="1">spellNumber(P341)</f>
        <v>#NAME?</v>
      </c>
      <c r="R341" s="31">
        <f t="shared" si="35"/>
        <v>2400</v>
      </c>
      <c r="S341" s="32">
        <v>2500</v>
      </c>
      <c r="T341" s="32">
        <v>1300</v>
      </c>
      <c r="U341" s="32">
        <v>1800</v>
      </c>
      <c r="V341" s="32">
        <v>1800</v>
      </c>
      <c r="W341" s="32">
        <v>1800</v>
      </c>
      <c r="X341" s="32">
        <v>1800</v>
      </c>
      <c r="Y341" s="32">
        <v>1800</v>
      </c>
      <c r="Z341" s="32">
        <v>2160</v>
      </c>
      <c r="AA341" s="33">
        <v>2160</v>
      </c>
      <c r="AB341" s="34">
        <v>0</v>
      </c>
      <c r="AC341" s="35">
        <v>2160</v>
      </c>
      <c r="AD341" s="36"/>
    </row>
    <row r="342" spans="1:30" ht="16.5" customHeight="1" x14ac:dyDescent="0.25">
      <c r="A342" s="19" t="s">
        <v>1448</v>
      </c>
      <c r="B342" s="19" t="s">
        <v>1449</v>
      </c>
      <c r="C342" s="19" t="s">
        <v>1450</v>
      </c>
      <c r="D342" s="19" t="s">
        <v>493</v>
      </c>
      <c r="E342" s="20"/>
      <c r="F342" s="21">
        <v>1</v>
      </c>
      <c r="G342" s="22" t="s">
        <v>1279</v>
      </c>
      <c r="H342" s="23">
        <v>1800</v>
      </c>
      <c r="I342" s="24">
        <v>2160</v>
      </c>
      <c r="J342" s="23">
        <v>2160</v>
      </c>
      <c r="K342" s="25">
        <f t="shared" si="30"/>
        <v>0</v>
      </c>
      <c r="L342" s="26">
        <f t="shared" si="31"/>
        <v>0</v>
      </c>
      <c r="M342" s="27">
        <v>0</v>
      </c>
      <c r="N342" s="28">
        <f t="shared" si="32"/>
        <v>2160</v>
      </c>
      <c r="O342" s="29">
        <f t="shared" si="33"/>
        <v>2160</v>
      </c>
      <c r="P342" s="29">
        <f t="shared" si="34"/>
        <v>2200</v>
      </c>
      <c r="Q342" s="30" t="e" cm="1">
        <f t="array" aca="1" ref="Q342" ca="1">spellNumber(P342)</f>
        <v>#NAME?</v>
      </c>
      <c r="R342" s="31">
        <f t="shared" si="35"/>
        <v>2400</v>
      </c>
      <c r="S342" s="32">
        <v>2500</v>
      </c>
      <c r="T342" s="32">
        <v>1300</v>
      </c>
      <c r="U342" s="32">
        <v>1800</v>
      </c>
      <c r="V342" s="32">
        <v>1800</v>
      </c>
      <c r="W342" s="32">
        <v>1800</v>
      </c>
      <c r="X342" s="32">
        <v>1800</v>
      </c>
      <c r="Y342" s="32">
        <v>1800</v>
      </c>
      <c r="Z342" s="32">
        <v>2160</v>
      </c>
      <c r="AA342" s="33">
        <v>2160</v>
      </c>
      <c r="AB342" s="34">
        <v>0</v>
      </c>
      <c r="AC342" s="35">
        <v>2160</v>
      </c>
      <c r="AD342" s="36"/>
    </row>
    <row r="343" spans="1:30" ht="16.5" customHeight="1" x14ac:dyDescent="0.25">
      <c r="A343" s="19" t="s">
        <v>1451</v>
      </c>
      <c r="B343" s="19" t="s">
        <v>899</v>
      </c>
      <c r="C343" s="19" t="s">
        <v>931</v>
      </c>
      <c r="D343" s="19" t="s">
        <v>493</v>
      </c>
      <c r="E343" s="20"/>
      <c r="F343" s="21">
        <v>1</v>
      </c>
      <c r="G343" s="22" t="s">
        <v>1452</v>
      </c>
      <c r="H343" s="23">
        <v>2000</v>
      </c>
      <c r="I343" s="24">
        <v>5000</v>
      </c>
      <c r="J343" s="23">
        <v>5000</v>
      </c>
      <c r="K343" s="25">
        <f t="shared" si="30"/>
        <v>0</v>
      </c>
      <c r="L343" s="26">
        <f t="shared" si="31"/>
        <v>0</v>
      </c>
      <c r="M343" s="27">
        <v>0</v>
      </c>
      <c r="N343" s="28">
        <f t="shared" si="32"/>
        <v>5000</v>
      </c>
      <c r="O343" s="29">
        <f t="shared" si="33"/>
        <v>5000</v>
      </c>
      <c r="P343" s="29">
        <f t="shared" si="34"/>
        <v>5000</v>
      </c>
      <c r="Q343" s="30" t="e" cm="1">
        <f t="array" aca="1" ref="Q343" ca="1">spellNumber(P343)</f>
        <v>#NAME?</v>
      </c>
      <c r="R343" s="31">
        <f t="shared" si="35"/>
        <v>5200</v>
      </c>
      <c r="S343" s="32">
        <v>4500</v>
      </c>
      <c r="T343" s="32">
        <v>2000</v>
      </c>
      <c r="U343" s="32">
        <v>0</v>
      </c>
      <c r="V343" s="32">
        <v>0</v>
      </c>
      <c r="W343" s="32">
        <v>4000</v>
      </c>
      <c r="X343" s="32">
        <v>2000</v>
      </c>
      <c r="Y343" s="32">
        <v>4000</v>
      </c>
      <c r="Z343" s="32">
        <v>0</v>
      </c>
      <c r="AA343" s="33">
        <v>2500</v>
      </c>
      <c r="AB343" s="34">
        <v>2500</v>
      </c>
      <c r="AC343" s="35">
        <v>0</v>
      </c>
      <c r="AD343" s="36"/>
    </row>
    <row r="344" spans="1:30" ht="16.5" customHeight="1" x14ac:dyDescent="0.25">
      <c r="A344" s="19" t="s">
        <v>1453</v>
      </c>
      <c r="B344" s="19" t="s">
        <v>1454</v>
      </c>
      <c r="C344" s="19" t="s">
        <v>1455</v>
      </c>
      <c r="D344" s="19" t="s">
        <v>493</v>
      </c>
      <c r="E344" s="20"/>
      <c r="F344" s="21">
        <v>1</v>
      </c>
      <c r="G344" s="22" t="s">
        <v>1456</v>
      </c>
      <c r="H344" s="23">
        <v>2200</v>
      </c>
      <c r="I344" s="24">
        <v>2950</v>
      </c>
      <c r="J344" s="23">
        <v>2950</v>
      </c>
      <c r="K344" s="25">
        <f t="shared" si="30"/>
        <v>0</v>
      </c>
      <c r="L344" s="26">
        <f t="shared" si="31"/>
        <v>0</v>
      </c>
      <c r="M344" s="27">
        <v>0</v>
      </c>
      <c r="N344" s="28">
        <f t="shared" si="32"/>
        <v>2950</v>
      </c>
      <c r="O344" s="29">
        <f t="shared" si="33"/>
        <v>2950</v>
      </c>
      <c r="P344" s="29">
        <f t="shared" si="34"/>
        <v>3000</v>
      </c>
      <c r="Q344" s="30" t="e" cm="1">
        <f t="array" aca="1" ref="Q344" ca="1">spellNumber(P344)</f>
        <v>#NAME?</v>
      </c>
      <c r="R344" s="31">
        <f t="shared" si="35"/>
        <v>3200</v>
      </c>
      <c r="S344" s="32">
        <v>4200</v>
      </c>
      <c r="T344" s="32">
        <v>2200</v>
      </c>
      <c r="U344" s="32">
        <v>0</v>
      </c>
      <c r="V344" s="32">
        <v>2200</v>
      </c>
      <c r="W344" s="32">
        <v>0</v>
      </c>
      <c r="X344" s="32">
        <v>4400</v>
      </c>
      <c r="Y344" s="32">
        <v>2200</v>
      </c>
      <c r="Z344" s="32">
        <v>2200</v>
      </c>
      <c r="AA344" s="33">
        <v>0</v>
      </c>
      <c r="AB344" s="34">
        <v>2400</v>
      </c>
      <c r="AC344" s="35">
        <v>2900</v>
      </c>
      <c r="AD344" s="36"/>
    </row>
    <row r="345" spans="1:30" ht="16.5" customHeight="1" x14ac:dyDescent="0.25">
      <c r="A345" s="19" t="s">
        <v>1457</v>
      </c>
      <c r="B345" s="19" t="s">
        <v>1458</v>
      </c>
      <c r="C345" s="19" t="s">
        <v>1459</v>
      </c>
      <c r="D345" s="19" t="s">
        <v>1447</v>
      </c>
      <c r="E345" s="20"/>
      <c r="F345" s="21">
        <v>1</v>
      </c>
      <c r="G345" s="22" t="s">
        <v>1255</v>
      </c>
      <c r="H345" s="23">
        <v>2300</v>
      </c>
      <c r="I345" s="24">
        <v>0</v>
      </c>
      <c r="J345" s="23">
        <v>0</v>
      </c>
      <c r="K345" s="25">
        <f t="shared" si="30"/>
        <v>0</v>
      </c>
      <c r="L345" s="26">
        <f t="shared" si="31"/>
        <v>0</v>
      </c>
      <c r="M345" s="27">
        <v>0</v>
      </c>
      <c r="N345" s="28">
        <f t="shared" si="32"/>
        <v>0</v>
      </c>
      <c r="O345" s="29">
        <f t="shared" si="33"/>
        <v>0</v>
      </c>
      <c r="P345" s="29">
        <f t="shared" si="34"/>
        <v>0</v>
      </c>
      <c r="Q345" s="30" t="e" cm="1">
        <f t="array" aca="1" ref="Q345" ca="1">spellNumber(P345)</f>
        <v>#NAME?</v>
      </c>
      <c r="R345" s="31">
        <f t="shared" si="35"/>
        <v>200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  <c r="X345" s="32">
        <v>10000</v>
      </c>
      <c r="Y345" s="32">
        <v>20000</v>
      </c>
      <c r="Z345" s="32">
        <v>0</v>
      </c>
      <c r="AA345" s="33">
        <v>0</v>
      </c>
      <c r="AB345" s="34">
        <v>0</v>
      </c>
      <c r="AC345" s="35">
        <v>36400</v>
      </c>
      <c r="AD345" s="36"/>
    </row>
    <row r="346" spans="1:30" ht="16.5" customHeight="1" x14ac:dyDescent="0.25">
      <c r="A346" s="19" t="s">
        <v>1460</v>
      </c>
      <c r="B346" s="19" t="s">
        <v>1461</v>
      </c>
      <c r="C346" s="19" t="s">
        <v>1462</v>
      </c>
      <c r="D346" s="19" t="s">
        <v>1463</v>
      </c>
      <c r="E346" s="20"/>
      <c r="F346" s="21">
        <v>2</v>
      </c>
      <c r="G346" s="47" t="s">
        <v>1464</v>
      </c>
      <c r="H346" s="23">
        <v>3400</v>
      </c>
      <c r="I346" s="24">
        <v>3400</v>
      </c>
      <c r="J346" s="23">
        <v>0</v>
      </c>
      <c r="K346" s="25">
        <f t="shared" si="30"/>
        <v>3400</v>
      </c>
      <c r="L346" s="26">
        <f t="shared" si="31"/>
        <v>1</v>
      </c>
      <c r="M346" s="27">
        <v>0</v>
      </c>
      <c r="N346" s="28">
        <f t="shared" si="32"/>
        <v>3400</v>
      </c>
      <c r="O346" s="29">
        <f t="shared" si="33"/>
        <v>3400</v>
      </c>
      <c r="P346" s="29">
        <f t="shared" si="34"/>
        <v>3400</v>
      </c>
      <c r="Q346" s="30" t="e" cm="1">
        <f t="array" aca="1" ref="Q346" ca="1">spellNumber(P346)</f>
        <v>#NAME?</v>
      </c>
      <c r="R346" s="31">
        <f t="shared" si="35"/>
        <v>3600</v>
      </c>
      <c r="S346" s="32">
        <v>8500</v>
      </c>
      <c r="T346" s="32">
        <v>10800</v>
      </c>
      <c r="U346" s="32">
        <v>0</v>
      </c>
      <c r="V346" s="32">
        <v>3400</v>
      </c>
      <c r="W346" s="32">
        <v>0</v>
      </c>
      <c r="X346" s="32">
        <v>5000</v>
      </c>
      <c r="Y346" s="32">
        <v>8600</v>
      </c>
      <c r="Z346" s="32">
        <v>0</v>
      </c>
      <c r="AA346" s="33">
        <v>0</v>
      </c>
      <c r="AB346" s="34">
        <v>7200</v>
      </c>
      <c r="AC346" s="35">
        <v>3400</v>
      </c>
      <c r="AD346" s="36"/>
    </row>
    <row r="347" spans="1:30" ht="16.5" customHeight="1" x14ac:dyDescent="0.25">
      <c r="A347" s="19" t="s">
        <v>1465</v>
      </c>
      <c r="B347" s="19" t="s">
        <v>1466</v>
      </c>
      <c r="C347" s="19" t="s">
        <v>1467</v>
      </c>
      <c r="D347" s="19" t="s">
        <v>1447</v>
      </c>
      <c r="E347" s="20"/>
      <c r="F347" s="21">
        <v>1</v>
      </c>
      <c r="G347" s="22" t="s">
        <v>1468</v>
      </c>
      <c r="H347" s="23">
        <v>1600</v>
      </c>
      <c r="I347" s="24">
        <v>4600</v>
      </c>
      <c r="J347" s="23">
        <v>0</v>
      </c>
      <c r="K347" s="25">
        <f t="shared" si="30"/>
        <v>4600</v>
      </c>
      <c r="L347" s="26">
        <f t="shared" si="31"/>
        <v>2.875</v>
      </c>
      <c r="M347" s="27">
        <v>0</v>
      </c>
      <c r="N347" s="28">
        <f t="shared" si="32"/>
        <v>4600</v>
      </c>
      <c r="O347" s="29">
        <f t="shared" si="33"/>
        <v>4600</v>
      </c>
      <c r="P347" s="29">
        <f t="shared" si="34"/>
        <v>4600</v>
      </c>
      <c r="Q347" s="30" t="e" cm="1">
        <f t="array" aca="1" ref="Q347" ca="1">spellNumber(P347)</f>
        <v>#NAME?</v>
      </c>
      <c r="R347" s="31">
        <f t="shared" si="35"/>
        <v>4800</v>
      </c>
      <c r="S347" s="32">
        <v>0</v>
      </c>
      <c r="T347" s="32">
        <v>0</v>
      </c>
      <c r="U347" s="32">
        <v>0</v>
      </c>
      <c r="V347" s="32">
        <v>10000</v>
      </c>
      <c r="W347" s="32">
        <v>0</v>
      </c>
      <c r="X347" s="32">
        <v>0</v>
      </c>
      <c r="Y347" s="32">
        <v>1600</v>
      </c>
      <c r="Z347" s="32">
        <v>0</v>
      </c>
      <c r="AA347" s="33">
        <v>0</v>
      </c>
      <c r="AB347" s="34">
        <v>0</v>
      </c>
      <c r="AC347" s="35">
        <v>5000</v>
      </c>
      <c r="AD347" s="36"/>
    </row>
    <row r="348" spans="1:30" ht="16.5" customHeight="1" x14ac:dyDescent="0.25">
      <c r="A348" s="19" t="s">
        <v>1469</v>
      </c>
      <c r="B348" s="19" t="s">
        <v>1470</v>
      </c>
      <c r="C348" s="19" t="s">
        <v>1471</v>
      </c>
      <c r="D348" s="19" t="s">
        <v>1472</v>
      </c>
      <c r="E348" s="20"/>
      <c r="F348" s="21">
        <v>2</v>
      </c>
      <c r="G348" s="22" t="s">
        <v>222</v>
      </c>
      <c r="H348" s="23">
        <v>4000</v>
      </c>
      <c r="I348" s="24">
        <v>4000</v>
      </c>
      <c r="J348" s="23">
        <v>4000</v>
      </c>
      <c r="K348" s="25">
        <f t="shared" si="30"/>
        <v>0</v>
      </c>
      <c r="L348" s="26">
        <f t="shared" si="31"/>
        <v>0</v>
      </c>
      <c r="M348" s="27">
        <v>0</v>
      </c>
      <c r="N348" s="28">
        <f t="shared" si="32"/>
        <v>4000</v>
      </c>
      <c r="O348" s="29">
        <f t="shared" si="33"/>
        <v>4000</v>
      </c>
      <c r="P348" s="29">
        <f t="shared" si="34"/>
        <v>4000</v>
      </c>
      <c r="Q348" s="30" t="e" cm="1">
        <f t="array" aca="1" ref="Q348" ca="1">spellNumber(P348)</f>
        <v>#NAME?</v>
      </c>
      <c r="R348" s="31">
        <f t="shared" si="35"/>
        <v>4200</v>
      </c>
      <c r="S348" s="32">
        <v>9000</v>
      </c>
      <c r="T348" s="32">
        <v>4000</v>
      </c>
      <c r="U348" s="32">
        <v>0</v>
      </c>
      <c r="V348" s="32">
        <v>0</v>
      </c>
      <c r="W348" s="32">
        <v>0</v>
      </c>
      <c r="X348" s="32">
        <v>16000</v>
      </c>
      <c r="Y348" s="32">
        <v>4000</v>
      </c>
      <c r="Z348" s="32">
        <v>4000</v>
      </c>
      <c r="AA348" s="33">
        <v>4000</v>
      </c>
      <c r="AB348" s="34">
        <v>4000</v>
      </c>
      <c r="AC348" s="35">
        <v>4000</v>
      </c>
      <c r="AD348" s="36"/>
    </row>
    <row r="349" spans="1:30" ht="16.5" customHeight="1" x14ac:dyDescent="0.25">
      <c r="A349" s="19" t="s">
        <v>1473</v>
      </c>
      <c r="B349" s="19" t="s">
        <v>1474</v>
      </c>
      <c r="C349" s="19" t="s">
        <v>1475</v>
      </c>
      <c r="D349" s="19" t="s">
        <v>1476</v>
      </c>
      <c r="E349" s="20"/>
      <c r="F349" s="21">
        <v>2</v>
      </c>
      <c r="G349" s="22" t="s">
        <v>1477</v>
      </c>
      <c r="H349" s="23">
        <v>4200</v>
      </c>
      <c r="I349" s="24">
        <v>4900</v>
      </c>
      <c r="J349" s="23">
        <v>0</v>
      </c>
      <c r="K349" s="25">
        <f t="shared" si="30"/>
        <v>4900</v>
      </c>
      <c r="L349" s="26">
        <f t="shared" si="31"/>
        <v>1.1666666666666667</v>
      </c>
      <c r="M349" s="27">
        <v>0</v>
      </c>
      <c r="N349" s="28">
        <f t="shared" si="32"/>
        <v>4900</v>
      </c>
      <c r="O349" s="29">
        <f t="shared" si="33"/>
        <v>4900</v>
      </c>
      <c r="P349" s="29">
        <f t="shared" si="34"/>
        <v>4900</v>
      </c>
      <c r="Q349" s="30" t="e" cm="1">
        <f t="array" aca="1" ref="Q349" ca="1">spellNumber(P349)</f>
        <v>#NAME?</v>
      </c>
      <c r="R349" s="31">
        <f t="shared" si="35"/>
        <v>5100</v>
      </c>
      <c r="S349" s="32">
        <v>0</v>
      </c>
      <c r="T349" s="32">
        <v>4000</v>
      </c>
      <c r="U349" s="32">
        <v>10000</v>
      </c>
      <c r="V349" s="32">
        <v>0</v>
      </c>
      <c r="W349" s="32">
        <v>6000</v>
      </c>
      <c r="X349" s="32">
        <v>8000</v>
      </c>
      <c r="Y349" s="32">
        <v>0</v>
      </c>
      <c r="Z349" s="32">
        <v>4800</v>
      </c>
      <c r="AA349" s="33">
        <v>5000</v>
      </c>
      <c r="AB349" s="34">
        <v>4700</v>
      </c>
      <c r="AC349" s="35">
        <v>4800</v>
      </c>
      <c r="AD349" s="36"/>
    </row>
    <row r="350" spans="1:30" ht="16.5" customHeight="1" x14ac:dyDescent="0.25">
      <c r="A350" s="19" t="s">
        <v>1478</v>
      </c>
      <c r="B350" s="19" t="s">
        <v>1479</v>
      </c>
      <c r="C350" s="19" t="s">
        <v>1115</v>
      </c>
      <c r="D350" s="19" t="s">
        <v>1386</v>
      </c>
      <c r="E350" s="20"/>
      <c r="F350" s="21">
        <v>2</v>
      </c>
      <c r="G350" s="22" t="s">
        <v>1480</v>
      </c>
      <c r="H350" s="23">
        <v>4000</v>
      </c>
      <c r="I350" s="24">
        <v>4000</v>
      </c>
      <c r="J350" s="23">
        <v>4000</v>
      </c>
      <c r="K350" s="25">
        <f t="shared" si="30"/>
        <v>0</v>
      </c>
      <c r="L350" s="26">
        <f t="shared" si="31"/>
        <v>0</v>
      </c>
      <c r="M350" s="27">
        <v>0</v>
      </c>
      <c r="N350" s="28">
        <f t="shared" si="32"/>
        <v>4000</v>
      </c>
      <c r="O350" s="29">
        <f t="shared" si="33"/>
        <v>4000</v>
      </c>
      <c r="P350" s="29">
        <f t="shared" si="34"/>
        <v>4000</v>
      </c>
      <c r="Q350" s="30" t="e" cm="1">
        <f t="array" aca="1" ref="Q350" ca="1">spellNumber(P350)</f>
        <v>#NAME?</v>
      </c>
      <c r="R350" s="31">
        <f t="shared" si="35"/>
        <v>4200</v>
      </c>
      <c r="S350" s="32">
        <v>8000</v>
      </c>
      <c r="T350" s="32">
        <v>4000</v>
      </c>
      <c r="U350" s="32">
        <v>4000</v>
      </c>
      <c r="V350" s="32">
        <v>0</v>
      </c>
      <c r="W350" s="32">
        <v>8000</v>
      </c>
      <c r="X350" s="32">
        <v>4000</v>
      </c>
      <c r="Y350" s="32">
        <v>4000</v>
      </c>
      <c r="Z350" s="32">
        <v>4000</v>
      </c>
      <c r="AA350" s="33">
        <v>4000</v>
      </c>
      <c r="AB350" s="34">
        <v>4000</v>
      </c>
      <c r="AC350" s="35">
        <v>4000</v>
      </c>
      <c r="AD350" s="36"/>
    </row>
    <row r="351" spans="1:30" ht="16.5" customHeight="1" x14ac:dyDescent="0.25">
      <c r="A351" s="19" t="s">
        <v>1481</v>
      </c>
      <c r="B351" s="19" t="s">
        <v>1482</v>
      </c>
      <c r="C351" s="19" t="s">
        <v>1483</v>
      </c>
      <c r="D351" s="19" t="s">
        <v>1484</v>
      </c>
      <c r="E351" s="20"/>
      <c r="F351" s="21">
        <v>3</v>
      </c>
      <c r="G351" s="22" t="s">
        <v>1485</v>
      </c>
      <c r="H351" s="23">
        <v>6000</v>
      </c>
      <c r="I351" s="24">
        <v>7980</v>
      </c>
      <c r="J351" s="23">
        <v>7980</v>
      </c>
      <c r="K351" s="25">
        <f t="shared" si="30"/>
        <v>0</v>
      </c>
      <c r="L351" s="26">
        <f t="shared" si="31"/>
        <v>0</v>
      </c>
      <c r="M351" s="27">
        <v>0</v>
      </c>
      <c r="N351" s="28">
        <f t="shared" si="32"/>
        <v>7980</v>
      </c>
      <c r="O351" s="29">
        <f t="shared" si="33"/>
        <v>7980</v>
      </c>
      <c r="P351" s="29">
        <f t="shared" si="34"/>
        <v>8000</v>
      </c>
      <c r="Q351" s="30" t="e" cm="1">
        <f t="array" aca="1" ref="Q351" ca="1">spellNumber(P351)</f>
        <v>#NAME?</v>
      </c>
      <c r="R351" s="31">
        <f t="shared" si="35"/>
        <v>8200</v>
      </c>
      <c r="S351" s="32">
        <v>0</v>
      </c>
      <c r="T351" s="32">
        <v>9200</v>
      </c>
      <c r="U351" s="32">
        <v>0</v>
      </c>
      <c r="V351" s="32">
        <v>0</v>
      </c>
      <c r="W351" s="32">
        <v>0</v>
      </c>
      <c r="X351" s="32">
        <v>10000</v>
      </c>
      <c r="Y351" s="32">
        <v>10000</v>
      </c>
      <c r="Z351" s="32">
        <v>7960</v>
      </c>
      <c r="AA351" s="33">
        <v>7960</v>
      </c>
      <c r="AB351" s="34">
        <v>8000</v>
      </c>
      <c r="AC351" s="35">
        <v>7900</v>
      </c>
      <c r="AD351" s="36"/>
    </row>
    <row r="352" spans="1:30" ht="16.5" customHeight="1" x14ac:dyDescent="0.25">
      <c r="A352" s="19" t="s">
        <v>1486</v>
      </c>
      <c r="B352" s="19" t="s">
        <v>1487</v>
      </c>
      <c r="C352" s="19" t="s">
        <v>1488</v>
      </c>
      <c r="D352" s="19" t="s">
        <v>697</v>
      </c>
      <c r="E352" s="20"/>
      <c r="F352" s="21">
        <v>1</v>
      </c>
      <c r="G352" s="22" t="s">
        <v>1489</v>
      </c>
      <c r="H352" s="23">
        <v>2000</v>
      </c>
      <c r="I352" s="24">
        <v>0</v>
      </c>
      <c r="J352" s="23">
        <v>0</v>
      </c>
      <c r="K352" s="25">
        <f t="shared" si="30"/>
        <v>0</v>
      </c>
      <c r="L352" s="26">
        <f t="shared" si="31"/>
        <v>0</v>
      </c>
      <c r="M352" s="27">
        <v>0</v>
      </c>
      <c r="N352" s="28">
        <f t="shared" si="32"/>
        <v>0</v>
      </c>
      <c r="O352" s="29">
        <f t="shared" si="33"/>
        <v>0</v>
      </c>
      <c r="P352" s="29">
        <f t="shared" si="34"/>
        <v>0</v>
      </c>
      <c r="Q352" s="30" t="e" cm="1">
        <f t="array" aca="1" ref="Q352" ca="1">spellNumber(P352)</f>
        <v>#NAME?</v>
      </c>
      <c r="R352" s="31">
        <f t="shared" si="35"/>
        <v>200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2">
        <v>24000</v>
      </c>
      <c r="Z352" s="32">
        <v>0</v>
      </c>
      <c r="AA352" s="33">
        <v>0</v>
      </c>
      <c r="AB352" s="34">
        <v>0</v>
      </c>
      <c r="AC352" s="35">
        <v>0</v>
      </c>
      <c r="AD352" s="36"/>
    </row>
    <row r="353" spans="1:30" ht="16.5" customHeight="1" x14ac:dyDescent="0.25">
      <c r="A353" s="19" t="s">
        <v>1490</v>
      </c>
      <c r="B353" s="19" t="s">
        <v>1491</v>
      </c>
      <c r="C353" s="19" t="s">
        <v>1492</v>
      </c>
      <c r="D353" s="19" t="s">
        <v>1493</v>
      </c>
      <c r="E353" s="20"/>
      <c r="F353" s="21">
        <v>3</v>
      </c>
      <c r="G353" s="47" t="s">
        <v>1494</v>
      </c>
      <c r="H353" s="23">
        <v>4500</v>
      </c>
      <c r="I353" s="24">
        <v>4500</v>
      </c>
      <c r="J353" s="23">
        <v>4500</v>
      </c>
      <c r="K353" s="25">
        <f t="shared" si="30"/>
        <v>0</v>
      </c>
      <c r="L353" s="26">
        <f t="shared" si="31"/>
        <v>0</v>
      </c>
      <c r="M353" s="27">
        <v>0</v>
      </c>
      <c r="N353" s="28">
        <f t="shared" si="32"/>
        <v>4500</v>
      </c>
      <c r="O353" s="29">
        <f t="shared" si="33"/>
        <v>4500</v>
      </c>
      <c r="P353" s="29">
        <f t="shared" si="34"/>
        <v>4500</v>
      </c>
      <c r="Q353" s="30" t="e" cm="1">
        <f t="array" aca="1" ref="Q353" ca="1">spellNumber(P353)</f>
        <v>#NAME?</v>
      </c>
      <c r="R353" s="31">
        <f t="shared" si="35"/>
        <v>4700</v>
      </c>
      <c r="S353" s="32">
        <v>11000</v>
      </c>
      <c r="T353" s="32">
        <v>5000</v>
      </c>
      <c r="U353" s="32">
        <v>5000</v>
      </c>
      <c r="V353" s="32">
        <v>0</v>
      </c>
      <c r="W353" s="32">
        <v>9000</v>
      </c>
      <c r="X353" s="32">
        <v>4500</v>
      </c>
      <c r="Y353" s="32">
        <v>4500</v>
      </c>
      <c r="Z353" s="32">
        <v>4500</v>
      </c>
      <c r="AA353" s="33">
        <v>4500</v>
      </c>
      <c r="AB353" s="34">
        <v>4500</v>
      </c>
      <c r="AC353" s="35">
        <v>4500</v>
      </c>
      <c r="AD353" s="36"/>
    </row>
    <row r="354" spans="1:30" ht="16.5" customHeight="1" x14ac:dyDescent="0.25">
      <c r="A354" s="19" t="s">
        <v>1495</v>
      </c>
      <c r="B354" s="19" t="s">
        <v>1496</v>
      </c>
      <c r="C354" s="19" t="s">
        <v>1497</v>
      </c>
      <c r="D354" s="19" t="s">
        <v>493</v>
      </c>
      <c r="E354" s="20"/>
      <c r="F354" s="21">
        <v>1</v>
      </c>
      <c r="G354" s="22" t="s">
        <v>1498</v>
      </c>
      <c r="H354" s="23">
        <v>1700</v>
      </c>
      <c r="I354" s="24">
        <v>3100</v>
      </c>
      <c r="J354" s="23">
        <v>0</v>
      </c>
      <c r="K354" s="25">
        <f t="shared" si="30"/>
        <v>3100</v>
      </c>
      <c r="L354" s="26">
        <f t="shared" si="31"/>
        <v>1.8235294117647058</v>
      </c>
      <c r="M354" s="27">
        <v>0</v>
      </c>
      <c r="N354" s="28">
        <f t="shared" si="32"/>
        <v>3100</v>
      </c>
      <c r="O354" s="29">
        <f t="shared" si="33"/>
        <v>3100</v>
      </c>
      <c r="P354" s="29">
        <f t="shared" si="34"/>
        <v>3100</v>
      </c>
      <c r="Q354" s="30" t="e" cm="1">
        <f t="array" aca="1" ref="Q354" ca="1">spellNumber(P354)</f>
        <v>#NAME?</v>
      </c>
      <c r="R354" s="31">
        <f t="shared" si="35"/>
        <v>3300</v>
      </c>
      <c r="S354" s="32">
        <v>3000</v>
      </c>
      <c r="T354" s="32">
        <v>1900</v>
      </c>
      <c r="U354" s="32">
        <v>1700</v>
      </c>
      <c r="V354" s="32">
        <v>1700</v>
      </c>
      <c r="W354" s="32">
        <v>1500</v>
      </c>
      <c r="X354" s="32">
        <v>1500</v>
      </c>
      <c r="Y354" s="32">
        <v>1500</v>
      </c>
      <c r="Z354" s="32">
        <v>1500</v>
      </c>
      <c r="AA354" s="33">
        <v>0</v>
      </c>
      <c r="AB354" s="34">
        <v>3000</v>
      </c>
      <c r="AC354" s="35">
        <v>1500</v>
      </c>
      <c r="AD354" s="36"/>
    </row>
    <row r="355" spans="1:30" ht="16.5" customHeight="1" x14ac:dyDescent="0.25">
      <c r="A355" s="19" t="s">
        <v>1499</v>
      </c>
      <c r="B355" s="19" t="s">
        <v>1500</v>
      </c>
      <c r="C355" s="19" t="s">
        <v>32</v>
      </c>
      <c r="D355" s="19" t="s">
        <v>1447</v>
      </c>
      <c r="E355" s="20"/>
      <c r="F355" s="21">
        <v>1</v>
      </c>
      <c r="G355" s="22" t="s">
        <v>1501</v>
      </c>
      <c r="H355" s="23">
        <v>2200</v>
      </c>
      <c r="I355" s="24">
        <v>2200</v>
      </c>
      <c r="J355" s="23">
        <v>2200</v>
      </c>
      <c r="K355" s="25">
        <f t="shared" si="30"/>
        <v>0</v>
      </c>
      <c r="L355" s="26">
        <f t="shared" si="31"/>
        <v>0</v>
      </c>
      <c r="M355" s="27">
        <v>0</v>
      </c>
      <c r="N355" s="28">
        <f t="shared" si="32"/>
        <v>2200</v>
      </c>
      <c r="O355" s="29">
        <f t="shared" si="33"/>
        <v>2200</v>
      </c>
      <c r="P355" s="29">
        <f t="shared" si="34"/>
        <v>2200</v>
      </c>
      <c r="Q355" s="30" t="e" cm="1">
        <f t="array" aca="1" ref="Q355" ca="1">spellNumber(P355)</f>
        <v>#NAME?</v>
      </c>
      <c r="R355" s="31">
        <f t="shared" si="35"/>
        <v>2400</v>
      </c>
      <c r="S355" s="32">
        <v>4200</v>
      </c>
      <c r="T355" s="32">
        <v>2100</v>
      </c>
      <c r="U355" s="32">
        <v>2300</v>
      </c>
      <c r="V355" s="32">
        <v>0</v>
      </c>
      <c r="W355" s="32">
        <v>4400</v>
      </c>
      <c r="X355" s="32">
        <v>2200</v>
      </c>
      <c r="Y355" s="32">
        <v>2200</v>
      </c>
      <c r="Z355" s="32">
        <v>2200</v>
      </c>
      <c r="AA355" s="33">
        <v>2200</v>
      </c>
      <c r="AB355" s="34">
        <v>2200</v>
      </c>
      <c r="AC355" s="35">
        <v>2200</v>
      </c>
      <c r="AD355" s="36"/>
    </row>
    <row r="356" spans="1:30" ht="16.5" customHeight="1" x14ac:dyDescent="0.25">
      <c r="A356" s="19" t="s">
        <v>1502</v>
      </c>
      <c r="B356" s="19" t="s">
        <v>1503</v>
      </c>
      <c r="C356" s="19" t="s">
        <v>1504</v>
      </c>
      <c r="D356" s="19" t="s">
        <v>1505</v>
      </c>
      <c r="E356" s="20"/>
      <c r="F356" s="21">
        <v>2</v>
      </c>
      <c r="G356" s="47" t="s">
        <v>1425</v>
      </c>
      <c r="H356" s="23">
        <v>3600</v>
      </c>
      <c r="I356" s="24">
        <v>0</v>
      </c>
      <c r="J356" s="23">
        <v>0</v>
      </c>
      <c r="K356" s="25">
        <f t="shared" si="30"/>
        <v>0</v>
      </c>
      <c r="L356" s="26">
        <f t="shared" si="31"/>
        <v>0</v>
      </c>
      <c r="M356" s="27">
        <v>0</v>
      </c>
      <c r="N356" s="28">
        <f t="shared" si="32"/>
        <v>0</v>
      </c>
      <c r="O356" s="29">
        <f t="shared" si="33"/>
        <v>0</v>
      </c>
      <c r="P356" s="29">
        <f t="shared" si="34"/>
        <v>0</v>
      </c>
      <c r="Q356" s="30" t="e" cm="1">
        <f t="array" aca="1" ref="Q356" ca="1">spellNumber(P356)</f>
        <v>#NAME?</v>
      </c>
      <c r="R356" s="31">
        <f t="shared" si="35"/>
        <v>200</v>
      </c>
      <c r="S356" s="32">
        <v>0</v>
      </c>
      <c r="T356" s="32">
        <v>0</v>
      </c>
      <c r="U356" s="32">
        <v>0</v>
      </c>
      <c r="V356" s="32">
        <v>17000</v>
      </c>
      <c r="W356" s="32">
        <v>0</v>
      </c>
      <c r="X356" s="32">
        <v>0</v>
      </c>
      <c r="Y356" s="32">
        <v>15000</v>
      </c>
      <c r="Z356" s="32">
        <v>0</v>
      </c>
      <c r="AA356" s="33">
        <v>0</v>
      </c>
      <c r="AB356" s="34">
        <v>0</v>
      </c>
      <c r="AC356" s="35">
        <v>15200</v>
      </c>
      <c r="AD356" s="36"/>
    </row>
    <row r="357" spans="1:30" ht="16.5" customHeight="1" x14ac:dyDescent="0.25">
      <c r="A357" s="19" t="s">
        <v>1506</v>
      </c>
      <c r="B357" s="19" t="s">
        <v>1507</v>
      </c>
      <c r="C357" s="19" t="s">
        <v>1508</v>
      </c>
      <c r="D357" s="19" t="s">
        <v>1447</v>
      </c>
      <c r="E357" s="20"/>
      <c r="F357" s="21">
        <v>1</v>
      </c>
      <c r="G357" s="22" t="s">
        <v>1279</v>
      </c>
      <c r="H357" s="23">
        <v>2000</v>
      </c>
      <c r="I357" s="24">
        <v>2000</v>
      </c>
      <c r="J357" s="23">
        <v>2000</v>
      </c>
      <c r="K357" s="25">
        <f t="shared" si="30"/>
        <v>0</v>
      </c>
      <c r="L357" s="26">
        <f t="shared" si="31"/>
        <v>0</v>
      </c>
      <c r="M357" s="27">
        <v>0</v>
      </c>
      <c r="N357" s="28">
        <f t="shared" si="32"/>
        <v>2000</v>
      </c>
      <c r="O357" s="29">
        <f t="shared" si="33"/>
        <v>2000</v>
      </c>
      <c r="P357" s="29">
        <f t="shared" si="34"/>
        <v>2000</v>
      </c>
      <c r="Q357" s="30" t="e" cm="1">
        <f t="array" aca="1" ref="Q357" ca="1">spellNumber(P357)</f>
        <v>#NAME?</v>
      </c>
      <c r="R357" s="31">
        <f t="shared" si="35"/>
        <v>2200</v>
      </c>
      <c r="S357" s="32">
        <v>4500</v>
      </c>
      <c r="T357" s="32">
        <v>2000</v>
      </c>
      <c r="U357" s="32">
        <v>0</v>
      </c>
      <c r="V357" s="32">
        <v>3600</v>
      </c>
      <c r="W357" s="32">
        <v>0</v>
      </c>
      <c r="X357" s="32">
        <v>0</v>
      </c>
      <c r="Y357" s="32">
        <v>8200</v>
      </c>
      <c r="Z357" s="32">
        <v>2000</v>
      </c>
      <c r="AA357" s="33">
        <v>2000</v>
      </c>
      <c r="AB357" s="34">
        <v>2000</v>
      </c>
      <c r="AC357" s="35">
        <v>2000</v>
      </c>
      <c r="AD357" s="36"/>
    </row>
    <row r="358" spans="1:30" ht="16.5" customHeight="1" x14ac:dyDescent="0.25">
      <c r="A358" s="19" t="s">
        <v>1509</v>
      </c>
      <c r="B358" s="19" t="s">
        <v>1510</v>
      </c>
      <c r="C358" s="19" t="s">
        <v>1511</v>
      </c>
      <c r="D358" s="19" t="s">
        <v>1447</v>
      </c>
      <c r="E358" s="20"/>
      <c r="F358" s="21">
        <v>1</v>
      </c>
      <c r="G358" s="47" t="s">
        <v>1512</v>
      </c>
      <c r="H358" s="23">
        <v>2000</v>
      </c>
      <c r="I358" s="24">
        <v>2000</v>
      </c>
      <c r="J358" s="23">
        <v>2000</v>
      </c>
      <c r="K358" s="25">
        <f t="shared" si="30"/>
        <v>0</v>
      </c>
      <c r="L358" s="26">
        <f t="shared" si="31"/>
        <v>0</v>
      </c>
      <c r="M358" s="27">
        <v>0</v>
      </c>
      <c r="N358" s="28">
        <f t="shared" si="32"/>
        <v>2000</v>
      </c>
      <c r="O358" s="29">
        <f t="shared" si="33"/>
        <v>2000</v>
      </c>
      <c r="P358" s="29">
        <f t="shared" si="34"/>
        <v>2000</v>
      </c>
      <c r="Q358" s="30" t="e" cm="1">
        <f t="array" aca="1" ref="Q358" ca="1">spellNumber(P358)</f>
        <v>#NAME?</v>
      </c>
      <c r="R358" s="31">
        <f t="shared" si="35"/>
        <v>2200</v>
      </c>
      <c r="S358" s="32">
        <v>0</v>
      </c>
      <c r="T358" s="32">
        <v>6000</v>
      </c>
      <c r="U358" s="32">
        <v>0</v>
      </c>
      <c r="V358" s="32">
        <v>4000</v>
      </c>
      <c r="W358" s="32">
        <v>2000</v>
      </c>
      <c r="X358" s="32">
        <v>2000</v>
      </c>
      <c r="Y358" s="32">
        <v>2000</v>
      </c>
      <c r="Z358" s="32">
        <v>2000</v>
      </c>
      <c r="AA358" s="33">
        <v>2000</v>
      </c>
      <c r="AB358" s="34">
        <v>2000</v>
      </c>
      <c r="AC358" s="35">
        <v>2000</v>
      </c>
      <c r="AD358" s="36"/>
    </row>
    <row r="359" spans="1:30" ht="16.5" customHeight="1" x14ac:dyDescent="0.25">
      <c r="A359" s="19" t="s">
        <v>1513</v>
      </c>
      <c r="B359" s="19" t="s">
        <v>1514</v>
      </c>
      <c r="C359" s="19" t="s">
        <v>1515</v>
      </c>
      <c r="D359" s="19" t="s">
        <v>1447</v>
      </c>
      <c r="E359" s="20"/>
      <c r="F359" s="21">
        <v>1</v>
      </c>
      <c r="G359" s="22" t="s">
        <v>1516</v>
      </c>
      <c r="H359" s="23">
        <v>2000</v>
      </c>
      <c r="I359" s="24">
        <v>2000</v>
      </c>
      <c r="J359" s="23">
        <v>0</v>
      </c>
      <c r="K359" s="25">
        <f t="shared" si="30"/>
        <v>2000</v>
      </c>
      <c r="L359" s="26">
        <f t="shared" si="31"/>
        <v>1</v>
      </c>
      <c r="M359" s="27">
        <v>0</v>
      </c>
      <c r="N359" s="28">
        <f t="shared" si="32"/>
        <v>2000</v>
      </c>
      <c r="O359" s="29">
        <f t="shared" si="33"/>
        <v>2000</v>
      </c>
      <c r="P359" s="29">
        <f t="shared" si="34"/>
        <v>2000</v>
      </c>
      <c r="Q359" s="30" t="e" cm="1">
        <f t="array" aca="1" ref="Q359" ca="1">spellNumber(P359)</f>
        <v>#NAME?</v>
      </c>
      <c r="R359" s="31">
        <f t="shared" si="35"/>
        <v>2200</v>
      </c>
      <c r="S359" s="32">
        <v>4500</v>
      </c>
      <c r="T359" s="32">
        <v>2000</v>
      </c>
      <c r="U359" s="32">
        <v>2000</v>
      </c>
      <c r="V359" s="32">
        <v>2000</v>
      </c>
      <c r="W359" s="32">
        <v>2000</v>
      </c>
      <c r="X359" s="32">
        <v>2000</v>
      </c>
      <c r="Y359" s="32">
        <v>2000</v>
      </c>
      <c r="Z359" s="32">
        <v>2000</v>
      </c>
      <c r="AA359" s="33">
        <v>0</v>
      </c>
      <c r="AB359" s="34">
        <v>4000</v>
      </c>
      <c r="AC359" s="35">
        <v>2000</v>
      </c>
      <c r="AD359" s="36"/>
    </row>
    <row r="360" spans="1:30" ht="16.5" customHeight="1" x14ac:dyDescent="0.25">
      <c r="A360" s="19" t="s">
        <v>1517</v>
      </c>
      <c r="B360" s="19" t="s">
        <v>1518</v>
      </c>
      <c r="C360" s="19" t="s">
        <v>1519</v>
      </c>
      <c r="D360" s="19" t="s">
        <v>1520</v>
      </c>
      <c r="E360" s="20"/>
      <c r="F360" s="21">
        <v>3</v>
      </c>
      <c r="G360" s="22" t="s">
        <v>847</v>
      </c>
      <c r="H360" s="23">
        <v>5800</v>
      </c>
      <c r="I360" s="24">
        <v>11800</v>
      </c>
      <c r="J360" s="23">
        <v>11800</v>
      </c>
      <c r="K360" s="25">
        <f t="shared" si="30"/>
        <v>0</v>
      </c>
      <c r="L360" s="26">
        <f t="shared" si="31"/>
        <v>0</v>
      </c>
      <c r="M360" s="27">
        <v>0</v>
      </c>
      <c r="N360" s="28">
        <f t="shared" si="32"/>
        <v>11800</v>
      </c>
      <c r="O360" s="29">
        <f t="shared" si="33"/>
        <v>11800</v>
      </c>
      <c r="P360" s="29">
        <f t="shared" si="34"/>
        <v>11800</v>
      </c>
      <c r="Q360" s="30" t="e" cm="1">
        <f t="array" aca="1" ref="Q360" ca="1">spellNumber(P360)</f>
        <v>#NAME?</v>
      </c>
      <c r="R360" s="31">
        <f t="shared" si="35"/>
        <v>12000</v>
      </c>
      <c r="S360" s="32">
        <v>10000</v>
      </c>
      <c r="T360" s="32">
        <v>0</v>
      </c>
      <c r="U360" s="32">
        <v>0</v>
      </c>
      <c r="V360" s="32">
        <v>10000</v>
      </c>
      <c r="W360" s="32">
        <v>0</v>
      </c>
      <c r="X360" s="32">
        <v>10000</v>
      </c>
      <c r="Y360" s="32">
        <v>7600</v>
      </c>
      <c r="Z360" s="32">
        <v>7600</v>
      </c>
      <c r="AA360" s="33">
        <v>7600</v>
      </c>
      <c r="AB360" s="34">
        <v>0</v>
      </c>
      <c r="AC360" s="35">
        <v>11000</v>
      </c>
      <c r="AD360" s="36"/>
    </row>
    <row r="361" spans="1:30" ht="16.5" customHeight="1" x14ac:dyDescent="0.25">
      <c r="A361" s="19" t="s">
        <v>1521</v>
      </c>
      <c r="B361" s="19" t="s">
        <v>707</v>
      </c>
      <c r="C361" s="19" t="s">
        <v>707</v>
      </c>
      <c r="D361" s="19" t="s">
        <v>707</v>
      </c>
      <c r="E361" s="20"/>
      <c r="F361" s="21">
        <v>0</v>
      </c>
      <c r="G361" s="52" t="s">
        <v>956</v>
      </c>
      <c r="H361" s="23">
        <v>0</v>
      </c>
      <c r="I361" s="24">
        <v>0</v>
      </c>
      <c r="J361" s="23">
        <v>0</v>
      </c>
      <c r="K361" s="25">
        <f t="shared" si="30"/>
        <v>0</v>
      </c>
      <c r="L361" s="26" t="e">
        <f t="shared" si="31"/>
        <v>#DIV/0!</v>
      </c>
      <c r="M361" s="27">
        <v>0</v>
      </c>
      <c r="N361" s="28">
        <f t="shared" si="32"/>
        <v>0</v>
      </c>
      <c r="O361" s="29">
        <f t="shared" si="33"/>
        <v>0</v>
      </c>
      <c r="P361" s="29">
        <f t="shared" si="34"/>
        <v>0</v>
      </c>
      <c r="Q361" s="30" t="e" cm="1">
        <f t="array" aca="1" ref="Q361" ca="1">spellNumber(P361)</f>
        <v>#NAME?</v>
      </c>
      <c r="R361" s="31">
        <f t="shared" si="35"/>
        <v>200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  <c r="X361" s="32">
        <v>0</v>
      </c>
      <c r="Y361" s="32">
        <v>0</v>
      </c>
      <c r="Z361" s="32">
        <v>0</v>
      </c>
      <c r="AA361" s="33">
        <v>0</v>
      </c>
      <c r="AB361" s="34">
        <v>0</v>
      </c>
      <c r="AC361" s="35">
        <v>0</v>
      </c>
      <c r="AD361" s="36"/>
    </row>
    <row r="362" spans="1:30" ht="16.5" customHeight="1" x14ac:dyDescent="0.25">
      <c r="A362" s="19" t="s">
        <v>1522</v>
      </c>
      <c r="B362" s="19" t="s">
        <v>1523</v>
      </c>
      <c r="C362" s="19" t="s">
        <v>1524</v>
      </c>
      <c r="D362" s="19" t="s">
        <v>697</v>
      </c>
      <c r="E362" s="20"/>
      <c r="F362" s="21">
        <v>1</v>
      </c>
      <c r="G362" s="22" t="s">
        <v>303</v>
      </c>
      <c r="H362" s="23">
        <v>1700</v>
      </c>
      <c r="I362" s="24">
        <v>1720</v>
      </c>
      <c r="J362" s="23">
        <v>1720</v>
      </c>
      <c r="K362" s="25">
        <f t="shared" si="30"/>
        <v>0</v>
      </c>
      <c r="L362" s="26">
        <f t="shared" si="31"/>
        <v>0</v>
      </c>
      <c r="M362" s="27">
        <v>0</v>
      </c>
      <c r="N362" s="28">
        <f t="shared" si="32"/>
        <v>1720</v>
      </c>
      <c r="O362" s="29">
        <f t="shared" si="33"/>
        <v>1720</v>
      </c>
      <c r="P362" s="29">
        <f t="shared" si="34"/>
        <v>1700</v>
      </c>
      <c r="Q362" s="30" t="e" cm="1">
        <f t="array" aca="1" ref="Q362" ca="1">spellNumber(P362)</f>
        <v>#NAME?</v>
      </c>
      <c r="R362" s="31">
        <f t="shared" si="35"/>
        <v>1900</v>
      </c>
      <c r="S362" s="32">
        <v>1500</v>
      </c>
      <c r="T362" s="32">
        <v>1500</v>
      </c>
      <c r="U362" s="32">
        <v>3000</v>
      </c>
      <c r="V362" s="32">
        <v>0</v>
      </c>
      <c r="W362" s="32">
        <v>4000</v>
      </c>
      <c r="X362" s="32">
        <v>2000</v>
      </c>
      <c r="Y362" s="32">
        <v>1700</v>
      </c>
      <c r="Z362" s="32">
        <v>1740</v>
      </c>
      <c r="AA362" s="33">
        <v>1740</v>
      </c>
      <c r="AB362" s="34">
        <v>1700</v>
      </c>
      <c r="AC362" s="35">
        <v>1800</v>
      </c>
      <c r="AD362" s="36"/>
    </row>
    <row r="363" spans="1:30" ht="16.5" customHeight="1" x14ac:dyDescent="0.25">
      <c r="A363" s="19" t="s">
        <v>1525</v>
      </c>
      <c r="B363" s="19" t="s">
        <v>1526</v>
      </c>
      <c r="C363" s="19" t="s">
        <v>1527</v>
      </c>
      <c r="D363" s="19" t="s">
        <v>434</v>
      </c>
      <c r="E363" s="20" t="s">
        <v>40</v>
      </c>
      <c r="F363" s="21">
        <v>1</v>
      </c>
      <c r="G363" s="47" t="s">
        <v>1528</v>
      </c>
      <c r="H363" s="23">
        <v>3500</v>
      </c>
      <c r="I363" s="24">
        <v>3500</v>
      </c>
      <c r="J363" s="23">
        <v>0</v>
      </c>
      <c r="K363" s="25">
        <f t="shared" si="30"/>
        <v>3500</v>
      </c>
      <c r="L363" s="26">
        <f t="shared" si="31"/>
        <v>1</v>
      </c>
      <c r="M363" s="27">
        <v>0</v>
      </c>
      <c r="N363" s="28">
        <f t="shared" si="32"/>
        <v>3500</v>
      </c>
      <c r="O363" s="29">
        <f t="shared" si="33"/>
        <v>3500</v>
      </c>
      <c r="P363" s="29">
        <f t="shared" si="34"/>
        <v>3500</v>
      </c>
      <c r="Q363" s="30" t="e" cm="1">
        <f t="array" aca="1" ref="Q363" ca="1">spellNumber(P363)</f>
        <v>#NAME?</v>
      </c>
      <c r="R363" s="31">
        <f t="shared" si="35"/>
        <v>3700</v>
      </c>
      <c r="S363" s="32">
        <v>0</v>
      </c>
      <c r="T363" s="32">
        <v>0</v>
      </c>
      <c r="U363" s="32">
        <v>7000</v>
      </c>
      <c r="V363" s="32">
        <v>0</v>
      </c>
      <c r="W363" s="32">
        <v>7000</v>
      </c>
      <c r="X363" s="32">
        <v>3500</v>
      </c>
      <c r="Y363" s="32">
        <v>3500</v>
      </c>
      <c r="Z363" s="32">
        <v>3500</v>
      </c>
      <c r="AA363" s="33">
        <v>3500</v>
      </c>
      <c r="AB363" s="34">
        <v>3500</v>
      </c>
      <c r="AC363" s="35">
        <v>3500</v>
      </c>
      <c r="AD363" s="36"/>
    </row>
    <row r="364" spans="1:30" ht="16.5" customHeight="1" x14ac:dyDescent="0.25">
      <c r="A364" s="19" t="s">
        <v>1529</v>
      </c>
      <c r="B364" s="19" t="s">
        <v>1530</v>
      </c>
      <c r="C364" s="19" t="s">
        <v>1531</v>
      </c>
      <c r="D364" s="19" t="s">
        <v>1156</v>
      </c>
      <c r="E364" s="20"/>
      <c r="F364" s="21">
        <v>1</v>
      </c>
      <c r="G364" s="22" t="s">
        <v>1532</v>
      </c>
      <c r="H364" s="23">
        <v>2000</v>
      </c>
      <c r="I364" s="24">
        <v>4000</v>
      </c>
      <c r="J364" s="23">
        <v>4000</v>
      </c>
      <c r="K364" s="25">
        <f t="shared" si="30"/>
        <v>0</v>
      </c>
      <c r="L364" s="26">
        <f t="shared" si="31"/>
        <v>0</v>
      </c>
      <c r="M364" s="27">
        <v>0</v>
      </c>
      <c r="N364" s="28">
        <f t="shared" si="32"/>
        <v>4000</v>
      </c>
      <c r="O364" s="29">
        <f t="shared" si="33"/>
        <v>4000</v>
      </c>
      <c r="P364" s="29">
        <f t="shared" si="34"/>
        <v>4000</v>
      </c>
      <c r="Q364" s="30" t="e" cm="1">
        <f t="array" aca="1" ref="Q364" ca="1">spellNumber(P364)</f>
        <v>#NAME?</v>
      </c>
      <c r="R364" s="31">
        <f t="shared" si="35"/>
        <v>4200</v>
      </c>
      <c r="S364" s="32">
        <v>3500</v>
      </c>
      <c r="T364" s="32">
        <v>2000</v>
      </c>
      <c r="U364" s="32">
        <v>2000</v>
      </c>
      <c r="V364" s="32">
        <v>2000</v>
      </c>
      <c r="W364" s="32">
        <v>2000</v>
      </c>
      <c r="X364" s="32">
        <v>2000</v>
      </c>
      <c r="Y364" s="32">
        <v>2000</v>
      </c>
      <c r="Z364" s="32">
        <v>2000</v>
      </c>
      <c r="AA364" s="33">
        <v>2000</v>
      </c>
      <c r="AB364" s="34">
        <v>2000</v>
      </c>
      <c r="AC364" s="35">
        <v>0</v>
      </c>
      <c r="AD364" s="36"/>
    </row>
    <row r="365" spans="1:30" ht="16.5" customHeight="1" x14ac:dyDescent="0.25">
      <c r="A365" s="19" t="s">
        <v>1533</v>
      </c>
      <c r="B365" s="19" t="s">
        <v>1534</v>
      </c>
      <c r="C365" s="19" t="s">
        <v>1535</v>
      </c>
      <c r="D365" s="19" t="s">
        <v>1447</v>
      </c>
      <c r="E365" s="20"/>
      <c r="F365" s="21">
        <v>1</v>
      </c>
      <c r="G365" s="22" t="s">
        <v>749</v>
      </c>
      <c r="H365" s="23">
        <v>1900</v>
      </c>
      <c r="I365" s="24">
        <v>1900</v>
      </c>
      <c r="J365" s="23">
        <v>1900</v>
      </c>
      <c r="K365" s="25">
        <f t="shared" si="30"/>
        <v>0</v>
      </c>
      <c r="L365" s="26">
        <f t="shared" si="31"/>
        <v>0</v>
      </c>
      <c r="M365" s="27">
        <v>0</v>
      </c>
      <c r="N365" s="28">
        <f t="shared" si="32"/>
        <v>1900</v>
      </c>
      <c r="O365" s="29">
        <f t="shared" si="33"/>
        <v>1900</v>
      </c>
      <c r="P365" s="29">
        <f t="shared" si="34"/>
        <v>1900</v>
      </c>
      <c r="Q365" s="30" t="e" cm="1">
        <f t="array" aca="1" ref="Q365" ca="1">spellNumber(P365)</f>
        <v>#NAME?</v>
      </c>
      <c r="R365" s="31">
        <f t="shared" si="35"/>
        <v>2100</v>
      </c>
      <c r="S365" s="32">
        <v>0</v>
      </c>
      <c r="T365" s="32">
        <v>2900</v>
      </c>
      <c r="U365" s="32">
        <v>1800</v>
      </c>
      <c r="V365" s="32">
        <v>2900</v>
      </c>
      <c r="W365" s="32">
        <v>2900</v>
      </c>
      <c r="X365" s="32">
        <v>900</v>
      </c>
      <c r="Y365" s="32">
        <v>900</v>
      </c>
      <c r="Z365" s="32">
        <v>1900</v>
      </c>
      <c r="AA365" s="33">
        <v>1900</v>
      </c>
      <c r="AB365" s="34">
        <v>1900</v>
      </c>
      <c r="AC365" s="35">
        <v>1900</v>
      </c>
      <c r="AD365" s="36"/>
    </row>
    <row r="366" spans="1:30" ht="16.5" customHeight="1" x14ac:dyDescent="0.25">
      <c r="A366" s="19" t="s">
        <v>1536</v>
      </c>
      <c r="B366" s="19" t="s">
        <v>1537</v>
      </c>
      <c r="C366" s="19" t="s">
        <v>1111</v>
      </c>
      <c r="D366" s="19" t="s">
        <v>1156</v>
      </c>
      <c r="E366" s="20"/>
      <c r="F366" s="21">
        <v>1</v>
      </c>
      <c r="G366" s="22" t="s">
        <v>1394</v>
      </c>
      <c r="H366" s="23">
        <v>2000</v>
      </c>
      <c r="I366" s="24">
        <v>2000</v>
      </c>
      <c r="J366" s="23">
        <v>2000</v>
      </c>
      <c r="K366" s="25">
        <f t="shared" si="30"/>
        <v>0</v>
      </c>
      <c r="L366" s="26">
        <f t="shared" si="31"/>
        <v>0</v>
      </c>
      <c r="M366" s="27">
        <v>0</v>
      </c>
      <c r="N366" s="28">
        <f t="shared" si="32"/>
        <v>2000</v>
      </c>
      <c r="O366" s="29">
        <f t="shared" si="33"/>
        <v>2000</v>
      </c>
      <c r="P366" s="29">
        <f t="shared" si="34"/>
        <v>2000</v>
      </c>
      <c r="Q366" s="30" t="e" cm="1">
        <f t="array" aca="1" ref="Q366" ca="1">spellNumber(P366)</f>
        <v>#NAME?</v>
      </c>
      <c r="R366" s="31">
        <f t="shared" si="35"/>
        <v>2200</v>
      </c>
      <c r="S366" s="32">
        <v>4500</v>
      </c>
      <c r="T366" s="32">
        <v>2000</v>
      </c>
      <c r="U366" s="32">
        <v>2000</v>
      </c>
      <c r="V366" s="32">
        <v>2000</v>
      </c>
      <c r="W366" s="32">
        <v>2000</v>
      </c>
      <c r="X366" s="32">
        <v>2000</v>
      </c>
      <c r="Y366" s="32">
        <v>2000</v>
      </c>
      <c r="Z366" s="32">
        <v>2000</v>
      </c>
      <c r="AA366" s="33">
        <v>2000</v>
      </c>
      <c r="AB366" s="34">
        <v>2000</v>
      </c>
      <c r="AC366" s="35">
        <v>2000</v>
      </c>
      <c r="AD366" s="36"/>
    </row>
    <row r="367" spans="1:30" ht="16.5" customHeight="1" x14ac:dyDescent="0.25">
      <c r="A367" s="19" t="s">
        <v>1538</v>
      </c>
      <c r="B367" s="19" t="s">
        <v>1539</v>
      </c>
      <c r="C367" s="19" t="s">
        <v>1540</v>
      </c>
      <c r="D367" s="19" t="s">
        <v>1541</v>
      </c>
      <c r="E367" s="20" t="s">
        <v>40</v>
      </c>
      <c r="F367" s="21">
        <v>3</v>
      </c>
      <c r="G367" s="22" t="s">
        <v>1542</v>
      </c>
      <c r="H367" s="23">
        <v>6500</v>
      </c>
      <c r="I367" s="24">
        <v>7000</v>
      </c>
      <c r="J367" s="23">
        <v>7000</v>
      </c>
      <c r="K367" s="25">
        <f t="shared" si="30"/>
        <v>0</v>
      </c>
      <c r="L367" s="26">
        <f t="shared" si="31"/>
        <v>0</v>
      </c>
      <c r="M367" s="27">
        <v>0</v>
      </c>
      <c r="N367" s="28">
        <f t="shared" si="32"/>
        <v>7000</v>
      </c>
      <c r="O367" s="29">
        <f t="shared" si="33"/>
        <v>7000</v>
      </c>
      <c r="P367" s="29">
        <f t="shared" si="34"/>
        <v>7000</v>
      </c>
      <c r="Q367" s="30" t="e" cm="1">
        <f t="array" aca="1" ref="Q367" ca="1">spellNumber(P367)</f>
        <v>#NAME?</v>
      </c>
      <c r="R367" s="31">
        <f t="shared" si="35"/>
        <v>7200</v>
      </c>
      <c r="S367" s="32">
        <v>7000</v>
      </c>
      <c r="T367" s="32">
        <v>8000</v>
      </c>
      <c r="U367" s="32">
        <v>8000</v>
      </c>
      <c r="V367" s="32">
        <v>7000</v>
      </c>
      <c r="W367" s="32">
        <v>7000</v>
      </c>
      <c r="X367" s="32">
        <v>7000</v>
      </c>
      <c r="Y367" s="32">
        <v>7000</v>
      </c>
      <c r="Z367" s="32">
        <v>7000</v>
      </c>
      <c r="AA367" s="33">
        <v>7000</v>
      </c>
      <c r="AB367" s="34">
        <v>7000</v>
      </c>
      <c r="AC367" s="35">
        <v>7000</v>
      </c>
      <c r="AD367" s="36"/>
    </row>
    <row r="368" spans="1:30" ht="16.5" customHeight="1" x14ac:dyDescent="0.25">
      <c r="A368" s="19" t="s">
        <v>1543</v>
      </c>
      <c r="B368" s="19" t="s">
        <v>1544</v>
      </c>
      <c r="C368" s="19" t="s">
        <v>1545</v>
      </c>
      <c r="D368" s="19" t="s">
        <v>1546</v>
      </c>
      <c r="E368" s="20" t="s">
        <v>34</v>
      </c>
      <c r="F368" s="21">
        <v>2</v>
      </c>
      <c r="G368" s="22" t="s">
        <v>1542</v>
      </c>
      <c r="H368" s="23">
        <v>4000</v>
      </c>
      <c r="I368" s="24">
        <v>4000</v>
      </c>
      <c r="J368" s="23">
        <v>4000</v>
      </c>
      <c r="K368" s="25">
        <f t="shared" si="30"/>
        <v>0</v>
      </c>
      <c r="L368" s="26">
        <f t="shared" si="31"/>
        <v>0</v>
      </c>
      <c r="M368" s="27">
        <v>0</v>
      </c>
      <c r="N368" s="28">
        <f t="shared" si="32"/>
        <v>4000</v>
      </c>
      <c r="O368" s="29">
        <f t="shared" si="33"/>
        <v>4000</v>
      </c>
      <c r="P368" s="29">
        <f t="shared" si="34"/>
        <v>4000</v>
      </c>
      <c r="Q368" s="30" t="e" cm="1">
        <f t="array" aca="1" ref="Q368" ca="1">spellNumber(P368)</f>
        <v>#NAME?</v>
      </c>
      <c r="R368" s="31">
        <f t="shared" si="35"/>
        <v>4200</v>
      </c>
      <c r="S368" s="32">
        <v>4000</v>
      </c>
      <c r="T368" s="32">
        <v>7000</v>
      </c>
      <c r="U368" s="32">
        <v>5000</v>
      </c>
      <c r="V368" s="32">
        <v>4000</v>
      </c>
      <c r="W368" s="32">
        <v>4000</v>
      </c>
      <c r="X368" s="32">
        <v>4000</v>
      </c>
      <c r="Y368" s="32">
        <v>4000</v>
      </c>
      <c r="Z368" s="32">
        <v>4000</v>
      </c>
      <c r="AA368" s="33">
        <v>4000</v>
      </c>
      <c r="AB368" s="34">
        <v>4000</v>
      </c>
      <c r="AC368" s="35">
        <v>4000</v>
      </c>
      <c r="AD368" s="36"/>
    </row>
    <row r="369" spans="1:30" ht="16.5" customHeight="1" x14ac:dyDescent="0.25">
      <c r="A369" s="19" t="s">
        <v>1547</v>
      </c>
      <c r="B369" s="19" t="s">
        <v>1548</v>
      </c>
      <c r="C369" s="19" t="s">
        <v>1549</v>
      </c>
      <c r="D369" s="19" t="s">
        <v>1472</v>
      </c>
      <c r="E369" s="20"/>
      <c r="F369" s="21">
        <v>2</v>
      </c>
      <c r="G369" s="22" t="s">
        <v>1550</v>
      </c>
      <c r="H369" s="23">
        <v>3500</v>
      </c>
      <c r="I369" s="24">
        <v>3500</v>
      </c>
      <c r="J369" s="23">
        <v>3500</v>
      </c>
      <c r="K369" s="25">
        <f t="shared" si="30"/>
        <v>0</v>
      </c>
      <c r="L369" s="26">
        <f t="shared" si="31"/>
        <v>0</v>
      </c>
      <c r="M369" s="27">
        <v>0</v>
      </c>
      <c r="N369" s="28">
        <f t="shared" si="32"/>
        <v>3500</v>
      </c>
      <c r="O369" s="29">
        <f t="shared" si="33"/>
        <v>3500</v>
      </c>
      <c r="P369" s="29">
        <f t="shared" si="34"/>
        <v>3500</v>
      </c>
      <c r="Q369" s="30" t="e" cm="1">
        <f t="array" aca="1" ref="Q369" ca="1">spellNumber(P369)</f>
        <v>#NAME?</v>
      </c>
      <c r="R369" s="31">
        <f t="shared" si="35"/>
        <v>3700</v>
      </c>
      <c r="S369" s="32">
        <v>7500</v>
      </c>
      <c r="T369" s="32">
        <v>3500</v>
      </c>
      <c r="U369" s="32">
        <v>3500</v>
      </c>
      <c r="V369" s="32">
        <v>0</v>
      </c>
      <c r="W369" s="32">
        <v>7000</v>
      </c>
      <c r="X369" s="32">
        <v>3500</v>
      </c>
      <c r="Y369" s="32">
        <v>3500</v>
      </c>
      <c r="Z369" s="32">
        <v>3500</v>
      </c>
      <c r="AA369" s="33">
        <v>3500</v>
      </c>
      <c r="AB369" s="34">
        <v>3500</v>
      </c>
      <c r="AC369" s="35">
        <v>3500</v>
      </c>
      <c r="AD369" s="36"/>
    </row>
    <row r="370" spans="1:30" ht="16.5" customHeight="1" x14ac:dyDescent="0.25">
      <c r="A370" s="19" t="s">
        <v>1551</v>
      </c>
      <c r="B370" s="19" t="s">
        <v>1552</v>
      </c>
      <c r="C370" s="19" t="s">
        <v>1553</v>
      </c>
      <c r="D370" s="19" t="s">
        <v>697</v>
      </c>
      <c r="E370" s="20"/>
      <c r="F370" s="21">
        <v>1</v>
      </c>
      <c r="G370" s="22" t="s">
        <v>1554</v>
      </c>
      <c r="H370" s="23">
        <v>2000</v>
      </c>
      <c r="I370" s="24">
        <v>2000</v>
      </c>
      <c r="J370" s="23">
        <v>2000</v>
      </c>
      <c r="K370" s="25">
        <f t="shared" si="30"/>
        <v>0</v>
      </c>
      <c r="L370" s="26">
        <f t="shared" si="31"/>
        <v>0</v>
      </c>
      <c r="M370" s="27">
        <v>0</v>
      </c>
      <c r="N370" s="28">
        <f t="shared" si="32"/>
        <v>2000</v>
      </c>
      <c r="O370" s="29">
        <f t="shared" si="33"/>
        <v>2000</v>
      </c>
      <c r="P370" s="29">
        <f t="shared" si="34"/>
        <v>2000</v>
      </c>
      <c r="Q370" s="30" t="e" cm="1">
        <f t="array" aca="1" ref="Q370" ca="1">spellNumber(P370)</f>
        <v>#NAME?</v>
      </c>
      <c r="R370" s="31">
        <f t="shared" si="35"/>
        <v>2200</v>
      </c>
      <c r="S370" s="32">
        <v>4000</v>
      </c>
      <c r="T370" s="32">
        <v>2000</v>
      </c>
      <c r="U370" s="32">
        <v>0</v>
      </c>
      <c r="V370" s="32">
        <v>2000</v>
      </c>
      <c r="W370" s="32">
        <v>0</v>
      </c>
      <c r="X370" s="32">
        <v>4000</v>
      </c>
      <c r="Y370" s="32">
        <v>2000</v>
      </c>
      <c r="Z370" s="32">
        <v>2400</v>
      </c>
      <c r="AA370" s="33">
        <v>2400</v>
      </c>
      <c r="AB370" s="34">
        <v>2400</v>
      </c>
      <c r="AC370" s="35">
        <v>2800</v>
      </c>
      <c r="AD370" s="36"/>
    </row>
    <row r="371" spans="1:30" ht="16.5" customHeight="1" x14ac:dyDescent="0.25">
      <c r="A371" s="19" t="s">
        <v>1555</v>
      </c>
      <c r="B371" s="19" t="s">
        <v>180</v>
      </c>
      <c r="C371" s="19" t="s">
        <v>1556</v>
      </c>
      <c r="D371" s="19" t="s">
        <v>697</v>
      </c>
      <c r="E371" s="20"/>
      <c r="F371" s="21">
        <v>1</v>
      </c>
      <c r="G371" s="22" t="s">
        <v>538</v>
      </c>
      <c r="H371" s="23">
        <v>2000</v>
      </c>
      <c r="I371" s="24">
        <v>2000</v>
      </c>
      <c r="J371" s="23">
        <v>2000</v>
      </c>
      <c r="K371" s="25">
        <f t="shared" si="30"/>
        <v>0</v>
      </c>
      <c r="L371" s="26">
        <f t="shared" si="31"/>
        <v>0</v>
      </c>
      <c r="M371" s="27">
        <v>0</v>
      </c>
      <c r="N371" s="28">
        <f t="shared" si="32"/>
        <v>2000</v>
      </c>
      <c r="O371" s="29">
        <f t="shared" si="33"/>
        <v>2000</v>
      </c>
      <c r="P371" s="29">
        <f t="shared" si="34"/>
        <v>2000</v>
      </c>
      <c r="Q371" s="30" t="e" cm="1">
        <f t="array" aca="1" ref="Q371" ca="1">spellNumber(P371)</f>
        <v>#NAME?</v>
      </c>
      <c r="R371" s="31">
        <f t="shared" si="35"/>
        <v>2200</v>
      </c>
      <c r="S371" s="32">
        <v>5000</v>
      </c>
      <c r="T371" s="32">
        <v>0</v>
      </c>
      <c r="U371" s="32">
        <v>3000</v>
      </c>
      <c r="V371" s="32">
        <v>2000</v>
      </c>
      <c r="W371" s="32">
        <v>2000</v>
      </c>
      <c r="X371" s="32">
        <v>2000</v>
      </c>
      <c r="Y371" s="32">
        <v>2000</v>
      </c>
      <c r="Z371" s="32">
        <v>2000</v>
      </c>
      <c r="AA371" s="33">
        <v>2000</v>
      </c>
      <c r="AB371" s="34">
        <v>2000</v>
      </c>
      <c r="AC371" s="35">
        <v>2000</v>
      </c>
      <c r="AD371" s="36"/>
    </row>
    <row r="372" spans="1:30" ht="16.5" customHeight="1" x14ac:dyDescent="0.25">
      <c r="A372" s="19" t="s">
        <v>1557</v>
      </c>
      <c r="B372" s="19" t="s">
        <v>1558</v>
      </c>
      <c r="C372" s="19" t="s">
        <v>1559</v>
      </c>
      <c r="D372" s="19" t="s">
        <v>1156</v>
      </c>
      <c r="E372" s="20"/>
      <c r="F372" s="21">
        <v>1</v>
      </c>
      <c r="G372" s="47" t="s">
        <v>1560</v>
      </c>
      <c r="H372" s="23">
        <v>0</v>
      </c>
      <c r="I372" s="24">
        <v>0</v>
      </c>
      <c r="J372" s="23">
        <v>0</v>
      </c>
      <c r="K372" s="25">
        <f t="shared" si="30"/>
        <v>0</v>
      </c>
      <c r="L372" s="26" t="e">
        <f t="shared" si="31"/>
        <v>#DIV/0!</v>
      </c>
      <c r="M372" s="27">
        <v>0</v>
      </c>
      <c r="N372" s="28">
        <f t="shared" si="32"/>
        <v>0</v>
      </c>
      <c r="O372" s="29">
        <f t="shared" si="33"/>
        <v>0</v>
      </c>
      <c r="P372" s="29">
        <f t="shared" si="34"/>
        <v>0</v>
      </c>
      <c r="Q372" s="30" t="e" cm="1">
        <f t="array" aca="1" ref="Q372" ca="1">spellNumber(P372)</f>
        <v>#NAME?</v>
      </c>
      <c r="R372" s="31">
        <f t="shared" si="35"/>
        <v>200</v>
      </c>
      <c r="S372" s="32">
        <v>2000</v>
      </c>
      <c r="T372" s="32">
        <v>0</v>
      </c>
      <c r="U372" s="32">
        <v>0</v>
      </c>
      <c r="V372" s="32">
        <v>0</v>
      </c>
      <c r="W372" s="32">
        <v>0</v>
      </c>
      <c r="X372" s="32">
        <v>0</v>
      </c>
      <c r="Y372" s="32">
        <v>0</v>
      </c>
      <c r="Z372" s="32">
        <v>0</v>
      </c>
      <c r="AA372" s="33">
        <v>0</v>
      </c>
      <c r="AB372" s="34">
        <v>0</v>
      </c>
      <c r="AC372" s="35">
        <v>0</v>
      </c>
      <c r="AD372" s="36"/>
    </row>
    <row r="373" spans="1:30" ht="16.5" customHeight="1" x14ac:dyDescent="0.25">
      <c r="A373" s="19" t="s">
        <v>1561</v>
      </c>
      <c r="B373" s="19" t="s">
        <v>1562</v>
      </c>
      <c r="C373" s="19" t="s">
        <v>1563</v>
      </c>
      <c r="D373" s="19" t="s">
        <v>697</v>
      </c>
      <c r="E373" s="20"/>
      <c r="F373" s="21">
        <v>1</v>
      </c>
      <c r="G373" s="47" t="s">
        <v>1560</v>
      </c>
      <c r="H373" s="23">
        <v>1800</v>
      </c>
      <c r="I373" s="24">
        <v>10800</v>
      </c>
      <c r="J373" s="23">
        <v>0</v>
      </c>
      <c r="K373" s="25">
        <f t="shared" si="30"/>
        <v>10800</v>
      </c>
      <c r="L373" s="26">
        <f t="shared" si="31"/>
        <v>6</v>
      </c>
      <c r="M373" s="27">
        <v>0</v>
      </c>
      <c r="N373" s="28">
        <f t="shared" si="32"/>
        <v>10800</v>
      </c>
      <c r="O373" s="29">
        <f t="shared" si="33"/>
        <v>10800</v>
      </c>
      <c r="P373" s="29">
        <f t="shared" si="34"/>
        <v>10800</v>
      </c>
      <c r="Q373" s="30" t="e" cm="1">
        <f t="array" aca="1" ref="Q373" ca="1">spellNumber(P373)</f>
        <v>#NAME?</v>
      </c>
      <c r="R373" s="31">
        <f t="shared" si="35"/>
        <v>11000</v>
      </c>
      <c r="S373" s="32">
        <v>12800</v>
      </c>
      <c r="T373" s="32">
        <v>0</v>
      </c>
      <c r="U373" s="32">
        <v>0</v>
      </c>
      <c r="V373" s="32">
        <v>0</v>
      </c>
      <c r="W373" s="32">
        <v>0</v>
      </c>
      <c r="X373" s="32">
        <v>0</v>
      </c>
      <c r="Y373" s="32">
        <v>0</v>
      </c>
      <c r="Z373" s="32">
        <v>0</v>
      </c>
      <c r="AA373" s="33">
        <v>0</v>
      </c>
      <c r="AB373" s="34">
        <v>0</v>
      </c>
      <c r="AC373" s="35">
        <v>0</v>
      </c>
      <c r="AD373" s="36"/>
    </row>
    <row r="374" spans="1:30" ht="16.5" customHeight="1" x14ac:dyDescent="0.25">
      <c r="A374" s="19" t="s">
        <v>1564</v>
      </c>
      <c r="B374" s="19" t="s">
        <v>1565</v>
      </c>
      <c r="C374" s="19" t="s">
        <v>1566</v>
      </c>
      <c r="D374" s="19" t="s">
        <v>493</v>
      </c>
      <c r="E374" s="20"/>
      <c r="F374" s="21">
        <v>1</v>
      </c>
      <c r="G374" s="47" t="s">
        <v>1567</v>
      </c>
      <c r="H374" s="23">
        <v>2000</v>
      </c>
      <c r="I374" s="24">
        <v>3000</v>
      </c>
      <c r="J374" s="23">
        <v>0</v>
      </c>
      <c r="K374" s="25">
        <f t="shared" si="30"/>
        <v>3000</v>
      </c>
      <c r="L374" s="26">
        <f t="shared" si="31"/>
        <v>1.5</v>
      </c>
      <c r="M374" s="27">
        <v>0</v>
      </c>
      <c r="N374" s="28">
        <f t="shared" si="32"/>
        <v>3000</v>
      </c>
      <c r="O374" s="29">
        <f t="shared" si="33"/>
        <v>3000</v>
      </c>
      <c r="P374" s="29">
        <f t="shared" si="34"/>
        <v>3000</v>
      </c>
      <c r="Q374" s="30" t="e" cm="1">
        <f t="array" aca="1" ref="Q374" ca="1">spellNumber(P374)</f>
        <v>#NAME?</v>
      </c>
      <c r="R374" s="31">
        <f t="shared" si="35"/>
        <v>3200</v>
      </c>
      <c r="S374" s="32">
        <v>5000</v>
      </c>
      <c r="T374" s="32">
        <v>2000</v>
      </c>
      <c r="U374" s="32">
        <v>2000</v>
      </c>
      <c r="V374" s="32">
        <v>2000</v>
      </c>
      <c r="W374" s="32">
        <v>2000</v>
      </c>
      <c r="X374" s="32">
        <v>2000</v>
      </c>
      <c r="Y374" s="32">
        <v>2000</v>
      </c>
      <c r="Z374" s="32">
        <v>2000</v>
      </c>
      <c r="AA374" s="33">
        <v>2000</v>
      </c>
      <c r="AB374" s="34">
        <v>0</v>
      </c>
      <c r="AC374" s="35">
        <v>3000</v>
      </c>
      <c r="AD374" s="36"/>
    </row>
    <row r="375" spans="1:30" ht="16.5" customHeight="1" x14ac:dyDescent="0.25">
      <c r="A375" s="19" t="s">
        <v>1568</v>
      </c>
      <c r="B375" s="19" t="s">
        <v>1569</v>
      </c>
      <c r="C375" s="19" t="s">
        <v>1570</v>
      </c>
      <c r="D375" s="19" t="s">
        <v>697</v>
      </c>
      <c r="E375" s="20"/>
      <c r="F375" s="21">
        <v>1</v>
      </c>
      <c r="G375" s="47" t="s">
        <v>1571</v>
      </c>
      <c r="H375" s="23">
        <v>1800</v>
      </c>
      <c r="I375" s="24">
        <v>0</v>
      </c>
      <c r="J375" s="23">
        <v>0</v>
      </c>
      <c r="K375" s="25">
        <f t="shared" si="30"/>
        <v>0</v>
      </c>
      <c r="L375" s="26">
        <f t="shared" si="31"/>
        <v>0</v>
      </c>
      <c r="M375" s="27">
        <v>0</v>
      </c>
      <c r="N375" s="28">
        <f t="shared" si="32"/>
        <v>0</v>
      </c>
      <c r="O375" s="29">
        <f t="shared" si="33"/>
        <v>0</v>
      </c>
      <c r="P375" s="29">
        <f t="shared" si="34"/>
        <v>0</v>
      </c>
      <c r="Q375" s="30" t="e" cm="1">
        <f t="array" aca="1" ref="Q375" ca="1">spellNumber(P375)</f>
        <v>#NAME?</v>
      </c>
      <c r="R375" s="31">
        <f t="shared" si="35"/>
        <v>200</v>
      </c>
      <c r="S375" s="32">
        <v>2500</v>
      </c>
      <c r="T375" s="32">
        <v>2100</v>
      </c>
      <c r="U375" s="32">
        <v>1800</v>
      </c>
      <c r="V375" s="32">
        <v>1800</v>
      </c>
      <c r="W375" s="32">
        <v>0</v>
      </c>
      <c r="X375" s="32">
        <v>0</v>
      </c>
      <c r="Y375" s="32">
        <v>5200</v>
      </c>
      <c r="Z375" s="32">
        <v>9000</v>
      </c>
      <c r="AA375" s="33">
        <v>0</v>
      </c>
      <c r="AB375" s="34">
        <v>0</v>
      </c>
      <c r="AC375" s="35">
        <v>0</v>
      </c>
      <c r="AD375" s="36"/>
    </row>
    <row r="376" spans="1:30" ht="16.5" customHeight="1" x14ac:dyDescent="0.25">
      <c r="A376" s="19" t="s">
        <v>1572</v>
      </c>
      <c r="B376" s="19" t="s">
        <v>1573</v>
      </c>
      <c r="C376" s="19" t="s">
        <v>1574</v>
      </c>
      <c r="D376" s="19" t="s">
        <v>697</v>
      </c>
      <c r="E376" s="20"/>
      <c r="F376" s="21">
        <v>1</v>
      </c>
      <c r="G376" s="47" t="s">
        <v>1575</v>
      </c>
      <c r="H376" s="23">
        <v>1800</v>
      </c>
      <c r="I376" s="24">
        <v>3600</v>
      </c>
      <c r="J376" s="23">
        <v>1800</v>
      </c>
      <c r="K376" s="25">
        <f t="shared" si="30"/>
        <v>1800</v>
      </c>
      <c r="L376" s="26">
        <f t="shared" si="31"/>
        <v>1</v>
      </c>
      <c r="M376" s="27">
        <v>0</v>
      </c>
      <c r="N376" s="28">
        <f t="shared" si="32"/>
        <v>3600</v>
      </c>
      <c r="O376" s="29">
        <f t="shared" si="33"/>
        <v>3600</v>
      </c>
      <c r="P376" s="29">
        <f t="shared" si="34"/>
        <v>3600</v>
      </c>
      <c r="Q376" s="30" t="e" cm="1">
        <f t="array" aca="1" ref="Q376" ca="1">spellNumber(P376)</f>
        <v>#NAME?</v>
      </c>
      <c r="R376" s="31">
        <f t="shared" si="35"/>
        <v>3800</v>
      </c>
      <c r="S376" s="32">
        <v>3800</v>
      </c>
      <c r="T376" s="32">
        <v>1800</v>
      </c>
      <c r="U376" s="32">
        <v>1800</v>
      </c>
      <c r="V376" s="32">
        <v>1800</v>
      </c>
      <c r="W376" s="32">
        <v>0</v>
      </c>
      <c r="X376" s="32">
        <v>1800</v>
      </c>
      <c r="Y376" s="32">
        <v>1800</v>
      </c>
      <c r="Z376" s="32">
        <v>1800</v>
      </c>
      <c r="AA376" s="33">
        <v>1800</v>
      </c>
      <c r="AB376" s="34">
        <v>0</v>
      </c>
      <c r="AC376" s="35">
        <v>3600</v>
      </c>
      <c r="AD376" s="36"/>
    </row>
    <row r="377" spans="1:30" ht="16.5" customHeight="1" x14ac:dyDescent="0.25">
      <c r="A377" s="19" t="s">
        <v>1576</v>
      </c>
      <c r="B377" s="19" t="s">
        <v>1577</v>
      </c>
      <c r="C377" s="19" t="s">
        <v>1578</v>
      </c>
      <c r="D377" s="19" t="s">
        <v>1287</v>
      </c>
      <c r="E377" s="20"/>
      <c r="F377" s="21">
        <v>2</v>
      </c>
      <c r="G377" s="47" t="s">
        <v>254</v>
      </c>
      <c r="H377" s="23">
        <v>3500</v>
      </c>
      <c r="I377" s="24">
        <v>11000</v>
      </c>
      <c r="J377" s="23">
        <v>0</v>
      </c>
      <c r="K377" s="25">
        <f t="shared" si="30"/>
        <v>11000</v>
      </c>
      <c r="L377" s="26">
        <f t="shared" si="31"/>
        <v>3.1428571428571428</v>
      </c>
      <c r="M377" s="27">
        <v>0</v>
      </c>
      <c r="N377" s="28">
        <f t="shared" si="32"/>
        <v>11000</v>
      </c>
      <c r="O377" s="29">
        <f t="shared" si="33"/>
        <v>11000</v>
      </c>
      <c r="P377" s="29">
        <f t="shared" si="34"/>
        <v>11000</v>
      </c>
      <c r="Q377" s="30" t="e" cm="1">
        <f t="array" aca="1" ref="Q377" ca="1">spellNumber(P377)</f>
        <v>#NAME?</v>
      </c>
      <c r="R377" s="31">
        <f t="shared" si="35"/>
        <v>11200</v>
      </c>
      <c r="S377" s="32">
        <v>0</v>
      </c>
      <c r="T377" s="32">
        <v>0</v>
      </c>
      <c r="U377" s="32">
        <v>15800</v>
      </c>
      <c r="V377" s="32">
        <v>0</v>
      </c>
      <c r="W377" s="32">
        <v>0</v>
      </c>
      <c r="X377" s="32">
        <v>0</v>
      </c>
      <c r="Y377" s="32">
        <v>10500</v>
      </c>
      <c r="Z377" s="32">
        <v>0</v>
      </c>
      <c r="AA377" s="33">
        <v>10000</v>
      </c>
      <c r="AB377" s="34">
        <v>0</v>
      </c>
      <c r="AC377" s="35">
        <v>0</v>
      </c>
      <c r="AD377" s="36"/>
    </row>
    <row r="378" spans="1:30" ht="16.5" customHeight="1" x14ac:dyDescent="0.25">
      <c r="A378" s="19" t="s">
        <v>1579</v>
      </c>
      <c r="B378" s="19" t="s">
        <v>341</v>
      </c>
      <c r="C378" s="19" t="s">
        <v>1580</v>
      </c>
      <c r="D378" s="19" t="s">
        <v>93</v>
      </c>
      <c r="E378" s="20" t="s">
        <v>34</v>
      </c>
      <c r="F378" s="21">
        <v>1</v>
      </c>
      <c r="G378" s="22" t="s">
        <v>1581</v>
      </c>
      <c r="H378" s="23">
        <v>2500</v>
      </c>
      <c r="I378" s="24">
        <v>2500</v>
      </c>
      <c r="J378" s="23">
        <v>2500</v>
      </c>
      <c r="K378" s="25">
        <f t="shared" si="30"/>
        <v>0</v>
      </c>
      <c r="L378" s="26">
        <f t="shared" si="31"/>
        <v>0</v>
      </c>
      <c r="M378" s="27">
        <v>0</v>
      </c>
      <c r="N378" s="28">
        <f t="shared" si="32"/>
        <v>2500</v>
      </c>
      <c r="O378" s="29">
        <f t="shared" si="33"/>
        <v>2500</v>
      </c>
      <c r="P378" s="29">
        <f t="shared" si="34"/>
        <v>2500</v>
      </c>
      <c r="Q378" s="30" t="e" cm="1">
        <f t="array" aca="1" ref="Q378" ca="1">spellNumber(P378)</f>
        <v>#NAME?</v>
      </c>
      <c r="R378" s="31">
        <f t="shared" si="35"/>
        <v>2700</v>
      </c>
      <c r="S378" s="32">
        <v>5000</v>
      </c>
      <c r="T378" s="32">
        <v>2500</v>
      </c>
      <c r="U378" s="32">
        <v>2500</v>
      </c>
      <c r="V378" s="32">
        <v>0</v>
      </c>
      <c r="W378" s="32">
        <v>0</v>
      </c>
      <c r="X378" s="32">
        <v>7500</v>
      </c>
      <c r="Y378" s="32">
        <v>2500</v>
      </c>
      <c r="Z378" s="32">
        <v>2500</v>
      </c>
      <c r="AA378" s="33">
        <v>2500</v>
      </c>
      <c r="AB378" s="34">
        <v>2500</v>
      </c>
      <c r="AC378" s="35">
        <v>2500</v>
      </c>
      <c r="AD378" s="36"/>
    </row>
    <row r="379" spans="1:30" ht="16.5" customHeight="1" x14ac:dyDescent="0.25">
      <c r="A379" s="19" t="s">
        <v>1582</v>
      </c>
      <c r="B379" s="19" t="s">
        <v>1583</v>
      </c>
      <c r="C379" s="19" t="s">
        <v>1584</v>
      </c>
      <c r="D379" s="19" t="s">
        <v>697</v>
      </c>
      <c r="E379" s="20"/>
      <c r="F379" s="21">
        <v>1</v>
      </c>
      <c r="G379" s="22" t="s">
        <v>1047</v>
      </c>
      <c r="H379" s="23">
        <v>1500</v>
      </c>
      <c r="I379" s="24">
        <v>1500</v>
      </c>
      <c r="J379" s="23">
        <v>0</v>
      </c>
      <c r="K379" s="37">
        <f t="shared" si="30"/>
        <v>1500</v>
      </c>
      <c r="L379" s="38">
        <f t="shared" si="31"/>
        <v>1</v>
      </c>
      <c r="M379" s="27">
        <v>0</v>
      </c>
      <c r="N379" s="28">
        <f t="shared" si="32"/>
        <v>1500</v>
      </c>
      <c r="O379" s="29">
        <f t="shared" si="33"/>
        <v>1500</v>
      </c>
      <c r="P379" s="29">
        <f t="shared" si="34"/>
        <v>1500</v>
      </c>
      <c r="Q379" s="30" t="e" cm="1">
        <f t="array" aca="1" ref="Q379" ca="1">spellNumber(P379)</f>
        <v>#NAME?</v>
      </c>
      <c r="R379" s="31">
        <f t="shared" si="35"/>
        <v>1700</v>
      </c>
      <c r="S379" s="32">
        <v>9000</v>
      </c>
      <c r="T379" s="32">
        <v>4500</v>
      </c>
      <c r="U379" s="32">
        <v>0</v>
      </c>
      <c r="V379" s="32">
        <v>0</v>
      </c>
      <c r="W379" s="32">
        <v>0</v>
      </c>
      <c r="X379" s="32">
        <v>0</v>
      </c>
      <c r="Y379" s="32">
        <v>6000</v>
      </c>
      <c r="Z379" s="32">
        <v>0</v>
      </c>
      <c r="AA379" s="33">
        <v>4500</v>
      </c>
      <c r="AB379" s="34">
        <v>0</v>
      </c>
      <c r="AC379" s="35">
        <v>3000</v>
      </c>
      <c r="AD379" s="36"/>
    </row>
    <row r="380" spans="1:30" ht="16.5" customHeight="1" x14ac:dyDescent="0.25">
      <c r="A380" s="19" t="s">
        <v>1585</v>
      </c>
      <c r="B380" s="19" t="s">
        <v>1586</v>
      </c>
      <c r="C380" s="19" t="s">
        <v>1587</v>
      </c>
      <c r="D380" s="19" t="s">
        <v>1588</v>
      </c>
      <c r="E380" s="20" t="s">
        <v>40</v>
      </c>
      <c r="F380" s="21">
        <v>2</v>
      </c>
      <c r="G380" s="22" t="s">
        <v>1589</v>
      </c>
      <c r="H380" s="23">
        <v>5000</v>
      </c>
      <c r="I380" s="24">
        <v>5000</v>
      </c>
      <c r="J380" s="23">
        <v>5000</v>
      </c>
      <c r="K380" s="25">
        <f t="shared" si="30"/>
        <v>0</v>
      </c>
      <c r="L380" s="39">
        <f t="shared" si="31"/>
        <v>0</v>
      </c>
      <c r="M380" s="27">
        <v>0</v>
      </c>
      <c r="N380" s="28">
        <f t="shared" si="32"/>
        <v>5000</v>
      </c>
      <c r="O380" s="29">
        <f t="shared" si="33"/>
        <v>5000</v>
      </c>
      <c r="P380" s="29">
        <f t="shared" si="34"/>
        <v>5000</v>
      </c>
      <c r="Q380" s="30" t="e" cm="1">
        <f t="array" aca="1" ref="Q380" ca="1">spellNumber(P380)</f>
        <v>#NAME?</v>
      </c>
      <c r="R380" s="31">
        <f t="shared" si="35"/>
        <v>5200</v>
      </c>
      <c r="S380" s="32">
        <v>5000</v>
      </c>
      <c r="T380" s="32">
        <v>6000</v>
      </c>
      <c r="U380" s="32">
        <v>6000</v>
      </c>
      <c r="V380" s="32">
        <v>6000</v>
      </c>
      <c r="W380" s="32">
        <v>6000</v>
      </c>
      <c r="X380" s="32">
        <v>6000</v>
      </c>
      <c r="Y380" s="32">
        <v>5000</v>
      </c>
      <c r="Z380" s="32">
        <v>5000</v>
      </c>
      <c r="AA380" s="33">
        <v>5000</v>
      </c>
      <c r="AB380" s="34">
        <v>5000</v>
      </c>
      <c r="AC380" s="35">
        <v>5000</v>
      </c>
      <c r="AD380" s="36"/>
    </row>
    <row r="381" spans="1:30" ht="16.5" customHeight="1" x14ac:dyDescent="0.25">
      <c r="A381" s="19" t="s">
        <v>1590</v>
      </c>
      <c r="B381" s="19" t="s">
        <v>1591</v>
      </c>
      <c r="C381" s="19" t="s">
        <v>1592</v>
      </c>
      <c r="D381" s="19" t="s">
        <v>493</v>
      </c>
      <c r="E381" s="20"/>
      <c r="F381" s="21">
        <v>1</v>
      </c>
      <c r="G381" s="22" t="s">
        <v>1593</v>
      </c>
      <c r="H381" s="23">
        <v>1400</v>
      </c>
      <c r="I381" s="24">
        <v>1400</v>
      </c>
      <c r="J381" s="23">
        <v>1400</v>
      </c>
      <c r="K381" s="40">
        <f t="shared" si="30"/>
        <v>0</v>
      </c>
      <c r="L381" s="41">
        <f t="shared" si="31"/>
        <v>0</v>
      </c>
      <c r="M381" s="27">
        <v>0</v>
      </c>
      <c r="N381" s="28">
        <f t="shared" si="32"/>
        <v>1400</v>
      </c>
      <c r="O381" s="29">
        <f t="shared" si="33"/>
        <v>1400</v>
      </c>
      <c r="P381" s="29">
        <f t="shared" si="34"/>
        <v>1400</v>
      </c>
      <c r="Q381" s="30" t="e" cm="1">
        <f t="array" aca="1" ref="Q381" ca="1">spellNumber(P381)</f>
        <v>#NAME?</v>
      </c>
      <c r="R381" s="31">
        <f t="shared" si="35"/>
        <v>1600</v>
      </c>
      <c r="S381" s="32">
        <v>1400</v>
      </c>
      <c r="T381" s="32">
        <v>1400</v>
      </c>
      <c r="U381" s="32">
        <v>1400</v>
      </c>
      <c r="V381" s="32">
        <v>0</v>
      </c>
      <c r="W381" s="32">
        <v>0</v>
      </c>
      <c r="X381" s="32">
        <v>4200</v>
      </c>
      <c r="Y381" s="32">
        <v>1400</v>
      </c>
      <c r="Z381" s="32">
        <v>1400</v>
      </c>
      <c r="AA381" s="33">
        <v>0</v>
      </c>
      <c r="AB381" s="34">
        <v>1400</v>
      </c>
      <c r="AC381" s="35">
        <v>1400</v>
      </c>
      <c r="AD381" s="36"/>
    </row>
    <row r="382" spans="1:30" ht="16.5" customHeight="1" x14ac:dyDescent="0.25">
      <c r="A382" s="19" t="s">
        <v>1594</v>
      </c>
      <c r="B382" s="19" t="s">
        <v>1595</v>
      </c>
      <c r="C382" s="19" t="s">
        <v>1596</v>
      </c>
      <c r="D382" s="19" t="s">
        <v>1073</v>
      </c>
      <c r="E382" s="20"/>
      <c r="F382" s="21">
        <v>1</v>
      </c>
      <c r="G382" s="22" t="s">
        <v>1597</v>
      </c>
      <c r="H382" s="23">
        <v>1900</v>
      </c>
      <c r="I382" s="24">
        <v>2225</v>
      </c>
      <c r="J382" s="23">
        <v>2225</v>
      </c>
      <c r="K382" s="25">
        <f t="shared" si="30"/>
        <v>0</v>
      </c>
      <c r="L382" s="26">
        <f t="shared" si="31"/>
        <v>0</v>
      </c>
      <c r="M382" s="27">
        <v>0</v>
      </c>
      <c r="N382" s="28">
        <f t="shared" si="32"/>
        <v>2225</v>
      </c>
      <c r="O382" s="29">
        <f t="shared" si="33"/>
        <v>2225</v>
      </c>
      <c r="P382" s="29">
        <f t="shared" si="34"/>
        <v>2200</v>
      </c>
      <c r="Q382" s="30" t="e" cm="1">
        <f t="array" aca="1" ref="Q382" ca="1">spellNumber(P382)</f>
        <v>#NAME?</v>
      </c>
      <c r="R382" s="31">
        <f t="shared" si="35"/>
        <v>2400</v>
      </c>
      <c r="S382" s="32">
        <v>4900</v>
      </c>
      <c r="T382" s="32">
        <v>1900</v>
      </c>
      <c r="U382" s="32">
        <v>1900</v>
      </c>
      <c r="V382" s="32">
        <v>0</v>
      </c>
      <c r="W382" s="32">
        <v>0</v>
      </c>
      <c r="X382" s="32">
        <v>5700</v>
      </c>
      <c r="Y382" s="32">
        <v>1900</v>
      </c>
      <c r="Z382" s="32">
        <v>0</v>
      </c>
      <c r="AA382" s="33">
        <v>2375</v>
      </c>
      <c r="AB382" s="34">
        <v>2600</v>
      </c>
      <c r="AC382" s="35">
        <v>2300</v>
      </c>
      <c r="AD382" s="36"/>
    </row>
    <row r="383" spans="1:30" ht="16.5" customHeight="1" x14ac:dyDescent="0.25">
      <c r="A383" s="19" t="s">
        <v>1598</v>
      </c>
      <c r="B383" s="19" t="s">
        <v>1599</v>
      </c>
      <c r="C383" s="19" t="s">
        <v>1217</v>
      </c>
      <c r="D383" s="19" t="s">
        <v>1447</v>
      </c>
      <c r="E383" s="20"/>
      <c r="F383" s="21">
        <v>1</v>
      </c>
      <c r="G383" s="53"/>
      <c r="H383" s="23">
        <v>1900</v>
      </c>
      <c r="I383" s="24">
        <v>1900</v>
      </c>
      <c r="J383" s="23">
        <v>1900</v>
      </c>
      <c r="K383" s="25">
        <f t="shared" si="30"/>
        <v>0</v>
      </c>
      <c r="L383" s="26">
        <f t="shared" si="31"/>
        <v>0</v>
      </c>
      <c r="M383" s="27">
        <v>0</v>
      </c>
      <c r="N383" s="28">
        <f t="shared" si="32"/>
        <v>1900</v>
      </c>
      <c r="O383" s="29">
        <f t="shared" si="33"/>
        <v>1900</v>
      </c>
      <c r="P383" s="29">
        <f t="shared" si="34"/>
        <v>1900</v>
      </c>
      <c r="Q383" s="30" t="e" cm="1">
        <f t="array" aca="1" ref="Q383" ca="1">spellNumber(P383)</f>
        <v>#NAME?</v>
      </c>
      <c r="R383" s="31">
        <f t="shared" si="35"/>
        <v>2100</v>
      </c>
      <c r="S383" s="32">
        <v>4400</v>
      </c>
      <c r="T383" s="32">
        <v>1900</v>
      </c>
      <c r="U383" s="32">
        <v>1900</v>
      </c>
      <c r="V383" s="32">
        <v>0</v>
      </c>
      <c r="W383" s="32">
        <v>0</v>
      </c>
      <c r="X383" s="32">
        <v>5700</v>
      </c>
      <c r="Y383" s="32">
        <v>1900</v>
      </c>
      <c r="Z383" s="32">
        <v>1900</v>
      </c>
      <c r="AA383" s="33">
        <v>1900</v>
      </c>
      <c r="AB383" s="34">
        <v>1900</v>
      </c>
      <c r="AC383" s="35">
        <v>1900</v>
      </c>
      <c r="AD383" s="36"/>
    </row>
    <row r="384" spans="1:30" ht="16.5" customHeight="1" x14ac:dyDescent="0.25">
      <c r="A384" s="19" t="s">
        <v>1600</v>
      </c>
      <c r="B384" s="19" t="s">
        <v>1601</v>
      </c>
      <c r="C384" s="19" t="s">
        <v>1602</v>
      </c>
      <c r="D384" s="19" t="s">
        <v>1603</v>
      </c>
      <c r="E384" s="20" t="s">
        <v>40</v>
      </c>
      <c r="F384" s="21">
        <v>2</v>
      </c>
      <c r="G384" s="22" t="s">
        <v>1604</v>
      </c>
      <c r="H384" s="23">
        <v>3000</v>
      </c>
      <c r="I384" s="24">
        <v>3000</v>
      </c>
      <c r="J384" s="23">
        <v>3000</v>
      </c>
      <c r="K384" s="25">
        <f t="shared" si="30"/>
        <v>0</v>
      </c>
      <c r="L384" s="26">
        <f t="shared" si="31"/>
        <v>0</v>
      </c>
      <c r="M384" s="27">
        <v>0</v>
      </c>
      <c r="N384" s="28">
        <f t="shared" si="32"/>
        <v>3000</v>
      </c>
      <c r="O384" s="29">
        <f t="shared" si="33"/>
        <v>3000</v>
      </c>
      <c r="P384" s="29">
        <f t="shared" si="34"/>
        <v>3000</v>
      </c>
      <c r="Q384" s="30" t="e" cm="1">
        <f t="array" aca="1" ref="Q384" ca="1">spellNumber(P384)</f>
        <v>#NAME?</v>
      </c>
      <c r="R384" s="31">
        <f t="shared" si="35"/>
        <v>3200</v>
      </c>
      <c r="S384" s="32">
        <v>4000</v>
      </c>
      <c r="T384" s="32">
        <v>4000</v>
      </c>
      <c r="U384" s="32">
        <v>5000</v>
      </c>
      <c r="V384" s="32">
        <v>0</v>
      </c>
      <c r="W384" s="32">
        <v>4000</v>
      </c>
      <c r="X384" s="32">
        <v>3000</v>
      </c>
      <c r="Y384" s="32">
        <v>3000</v>
      </c>
      <c r="Z384" s="32">
        <v>7500</v>
      </c>
      <c r="AA384" s="33">
        <v>3500</v>
      </c>
      <c r="AB384" s="34">
        <v>3000</v>
      </c>
      <c r="AC384" s="35">
        <v>3000</v>
      </c>
      <c r="AD384" s="36"/>
    </row>
    <row r="385" spans="1:30" ht="16.5" customHeight="1" x14ac:dyDescent="0.25">
      <c r="A385" s="19" t="s">
        <v>1605</v>
      </c>
      <c r="B385" s="19" t="s">
        <v>1606</v>
      </c>
      <c r="C385" s="19" t="s">
        <v>1535</v>
      </c>
      <c r="D385" s="19" t="s">
        <v>54</v>
      </c>
      <c r="E385" s="20" t="s">
        <v>34</v>
      </c>
      <c r="F385" s="21">
        <v>1</v>
      </c>
      <c r="G385" s="22" t="s">
        <v>1607</v>
      </c>
      <c r="H385" s="23">
        <v>2200</v>
      </c>
      <c r="I385" s="24">
        <v>4800</v>
      </c>
      <c r="J385" s="23">
        <v>0</v>
      </c>
      <c r="K385" s="25">
        <f t="shared" si="30"/>
        <v>4800</v>
      </c>
      <c r="L385" s="26">
        <f t="shared" si="31"/>
        <v>2.1818181818181817</v>
      </c>
      <c r="M385" s="27">
        <v>0</v>
      </c>
      <c r="N385" s="28">
        <f t="shared" si="32"/>
        <v>4800</v>
      </c>
      <c r="O385" s="29">
        <f t="shared" si="33"/>
        <v>4800</v>
      </c>
      <c r="P385" s="29">
        <f t="shared" si="34"/>
        <v>4800</v>
      </c>
      <c r="Q385" s="30" t="e" cm="1">
        <f t="array" aca="1" ref="Q385" ca="1">spellNumber(P385)</f>
        <v>#NAME?</v>
      </c>
      <c r="R385" s="31">
        <f t="shared" si="35"/>
        <v>5000</v>
      </c>
      <c r="S385" s="32">
        <v>0</v>
      </c>
      <c r="T385" s="32">
        <v>6600</v>
      </c>
      <c r="U385" s="32">
        <v>0</v>
      </c>
      <c r="V385" s="32">
        <v>7000</v>
      </c>
      <c r="W385" s="32">
        <v>0</v>
      </c>
      <c r="X385" s="32">
        <v>0</v>
      </c>
      <c r="Y385" s="32">
        <v>0</v>
      </c>
      <c r="Z385" s="32">
        <v>5000</v>
      </c>
      <c r="AA385" s="33">
        <v>3500</v>
      </c>
      <c r="AB385" s="34">
        <v>3500</v>
      </c>
      <c r="AC385" s="35">
        <v>2200</v>
      </c>
      <c r="AD385" s="36"/>
    </row>
    <row r="386" spans="1:30" ht="16.5" customHeight="1" x14ac:dyDescent="0.25">
      <c r="A386" s="19" t="s">
        <v>1608</v>
      </c>
      <c r="B386" s="19" t="s">
        <v>1609</v>
      </c>
      <c r="C386" s="19" t="s">
        <v>1610</v>
      </c>
      <c r="D386" s="19" t="s">
        <v>908</v>
      </c>
      <c r="E386" s="20"/>
      <c r="F386" s="21">
        <v>1</v>
      </c>
      <c r="G386" s="22" t="s">
        <v>1611</v>
      </c>
      <c r="H386" s="23">
        <v>2200</v>
      </c>
      <c r="I386" s="24">
        <v>8800</v>
      </c>
      <c r="J386" s="23">
        <v>8800</v>
      </c>
      <c r="K386" s="25">
        <f t="shared" ref="K386:K449" si="36">I386-J386</f>
        <v>0</v>
      </c>
      <c r="L386" s="26">
        <f t="shared" ref="L386:L449" si="37">K386/H386</f>
        <v>0</v>
      </c>
      <c r="M386" s="27">
        <v>0</v>
      </c>
      <c r="N386" s="28">
        <f t="shared" ref="N386:N449" si="38">I386+M386</f>
        <v>8800</v>
      </c>
      <c r="O386" s="29">
        <f t="shared" si="33"/>
        <v>8800</v>
      </c>
      <c r="P386" s="29">
        <f t="shared" si="34"/>
        <v>8800</v>
      </c>
      <c r="Q386" s="30" t="e" cm="1">
        <f t="array" aca="1" ref="Q386" ca="1">spellNumber(P386)</f>
        <v>#NAME?</v>
      </c>
      <c r="R386" s="31">
        <f t="shared" si="35"/>
        <v>9000</v>
      </c>
      <c r="S386" s="32">
        <v>0</v>
      </c>
      <c r="T386" s="32">
        <v>0</v>
      </c>
      <c r="U386" s="32">
        <v>0</v>
      </c>
      <c r="V386" s="32">
        <v>0</v>
      </c>
      <c r="W386" s="32">
        <v>4200</v>
      </c>
      <c r="X386" s="32">
        <v>0</v>
      </c>
      <c r="Y386" s="32">
        <v>4400</v>
      </c>
      <c r="Z386" s="32">
        <v>2200</v>
      </c>
      <c r="AA386" s="33">
        <v>0</v>
      </c>
      <c r="AB386" s="34">
        <v>0</v>
      </c>
      <c r="AC386" s="35">
        <v>0</v>
      </c>
      <c r="AD386" s="36"/>
    </row>
    <row r="387" spans="1:30" ht="16.5" customHeight="1" x14ac:dyDescent="0.25">
      <c r="A387" s="19" t="s">
        <v>1612</v>
      </c>
      <c r="B387" s="19" t="s">
        <v>1565</v>
      </c>
      <c r="C387" s="19" t="s">
        <v>1613</v>
      </c>
      <c r="D387" s="19" t="s">
        <v>1447</v>
      </c>
      <c r="E387" s="20"/>
      <c r="F387" s="21">
        <v>1</v>
      </c>
      <c r="G387" s="47" t="s">
        <v>1614</v>
      </c>
      <c r="H387" s="23">
        <v>1800</v>
      </c>
      <c r="I387" s="24">
        <v>1800</v>
      </c>
      <c r="J387" s="23">
        <v>1800</v>
      </c>
      <c r="K387" s="37">
        <f t="shared" si="36"/>
        <v>0</v>
      </c>
      <c r="L387" s="38">
        <f t="shared" si="37"/>
        <v>0</v>
      </c>
      <c r="M387" s="27">
        <v>0</v>
      </c>
      <c r="N387" s="28">
        <f t="shared" si="38"/>
        <v>1800</v>
      </c>
      <c r="O387" s="29">
        <f t="shared" ref="O387:O450" si="39">N387/1</f>
        <v>1800</v>
      </c>
      <c r="P387" s="29">
        <f t="shared" ref="P387:P450" si="40">ROUND(O387,-2)</f>
        <v>1800</v>
      </c>
      <c r="Q387" s="30" t="e" cm="1">
        <f t="array" aca="1" ref="Q387" ca="1">spellNumber(P387)</f>
        <v>#NAME?</v>
      </c>
      <c r="R387" s="31">
        <f t="shared" ref="R387:R450" si="41">P387+200</f>
        <v>2000</v>
      </c>
      <c r="S387" s="32">
        <v>3800</v>
      </c>
      <c r="T387" s="32">
        <v>1800</v>
      </c>
      <c r="U387" s="32">
        <v>1800</v>
      </c>
      <c r="V387" s="32">
        <v>1800</v>
      </c>
      <c r="W387" s="32">
        <v>1800</v>
      </c>
      <c r="X387" s="32">
        <v>1800</v>
      </c>
      <c r="Y387" s="32">
        <v>1800</v>
      </c>
      <c r="Z387" s="32">
        <v>1800</v>
      </c>
      <c r="AA387" s="33">
        <v>1800</v>
      </c>
      <c r="AB387" s="34">
        <v>0</v>
      </c>
      <c r="AC387" s="35">
        <v>1800</v>
      </c>
      <c r="AD387" s="36"/>
    </row>
    <row r="388" spans="1:30" ht="16.5" customHeight="1" x14ac:dyDescent="0.25">
      <c r="A388" s="19" t="s">
        <v>1615</v>
      </c>
      <c r="B388" s="19" t="s">
        <v>1616</v>
      </c>
      <c r="C388" s="19" t="s">
        <v>1617</v>
      </c>
      <c r="D388" s="19" t="s">
        <v>83</v>
      </c>
      <c r="E388" s="20" t="s">
        <v>34</v>
      </c>
      <c r="F388" s="21">
        <v>1</v>
      </c>
      <c r="G388" s="47" t="s">
        <v>1618</v>
      </c>
      <c r="H388" s="23">
        <v>3000</v>
      </c>
      <c r="I388" s="24">
        <v>5400</v>
      </c>
      <c r="J388" s="23">
        <v>0</v>
      </c>
      <c r="K388" s="25">
        <f t="shared" si="36"/>
        <v>5400</v>
      </c>
      <c r="L388" s="39">
        <f t="shared" si="37"/>
        <v>1.8</v>
      </c>
      <c r="M388" s="27">
        <v>0</v>
      </c>
      <c r="N388" s="28">
        <f t="shared" si="38"/>
        <v>5400</v>
      </c>
      <c r="O388" s="29">
        <f t="shared" si="39"/>
        <v>5400</v>
      </c>
      <c r="P388" s="29">
        <f t="shared" si="40"/>
        <v>5400</v>
      </c>
      <c r="Q388" s="30" t="e" cm="1">
        <f t="array" aca="1" ref="Q388" ca="1">spellNumber(P388)</f>
        <v>#NAME?</v>
      </c>
      <c r="R388" s="31">
        <f t="shared" si="41"/>
        <v>5600</v>
      </c>
      <c r="S388" s="32">
        <v>4000</v>
      </c>
      <c r="T388" s="32">
        <v>0</v>
      </c>
      <c r="U388" s="32">
        <v>0</v>
      </c>
      <c r="V388" s="32">
        <v>6000</v>
      </c>
      <c r="W388" s="32">
        <v>0</v>
      </c>
      <c r="X388" s="32">
        <v>5000</v>
      </c>
      <c r="Y388" s="32">
        <v>0</v>
      </c>
      <c r="Z388" s="32">
        <v>5800</v>
      </c>
      <c r="AA388" s="33">
        <v>6000</v>
      </c>
      <c r="AB388" s="34">
        <v>5900</v>
      </c>
      <c r="AC388" s="35">
        <v>5900</v>
      </c>
      <c r="AD388" s="36"/>
    </row>
    <row r="389" spans="1:30" ht="16.5" customHeight="1" x14ac:dyDescent="0.25">
      <c r="A389" s="19" t="s">
        <v>1619</v>
      </c>
      <c r="B389" s="19" t="s">
        <v>1620</v>
      </c>
      <c r="C389" s="19" t="s">
        <v>1621</v>
      </c>
      <c r="D389" s="19" t="s">
        <v>93</v>
      </c>
      <c r="E389" s="20" t="s">
        <v>34</v>
      </c>
      <c r="F389" s="21">
        <v>1</v>
      </c>
      <c r="G389" s="22" t="s">
        <v>1622</v>
      </c>
      <c r="H389" s="23">
        <v>2200</v>
      </c>
      <c r="I389" s="24">
        <v>2200</v>
      </c>
      <c r="J389" s="23">
        <v>2200</v>
      </c>
      <c r="K389" s="43">
        <f t="shared" si="36"/>
        <v>0</v>
      </c>
      <c r="L389" s="44">
        <f t="shared" si="37"/>
        <v>0</v>
      </c>
      <c r="M389" s="27">
        <v>0</v>
      </c>
      <c r="N389" s="28">
        <f t="shared" si="38"/>
        <v>2200</v>
      </c>
      <c r="O389" s="29">
        <f t="shared" si="39"/>
        <v>2200</v>
      </c>
      <c r="P389" s="29">
        <f t="shared" si="40"/>
        <v>2200</v>
      </c>
      <c r="Q389" s="30" t="e" cm="1">
        <f t="array" aca="1" ref="Q389" ca="1">spellNumber(P389)</f>
        <v>#NAME?</v>
      </c>
      <c r="R389" s="31">
        <f t="shared" si="41"/>
        <v>2400</v>
      </c>
      <c r="S389" s="32">
        <v>2200</v>
      </c>
      <c r="T389" s="32">
        <v>2200</v>
      </c>
      <c r="U389" s="32">
        <v>2200</v>
      </c>
      <c r="V389" s="32">
        <v>2200</v>
      </c>
      <c r="W389" s="32">
        <v>2200</v>
      </c>
      <c r="X389" s="32">
        <v>2200</v>
      </c>
      <c r="Y389" s="32">
        <v>2200</v>
      </c>
      <c r="Z389" s="32">
        <v>2200</v>
      </c>
      <c r="AA389" s="33">
        <v>2200</v>
      </c>
      <c r="AB389" s="34">
        <v>2200</v>
      </c>
      <c r="AC389" s="35">
        <v>2200</v>
      </c>
      <c r="AD389" s="36"/>
    </row>
    <row r="390" spans="1:30" ht="16.5" customHeight="1" x14ac:dyDescent="0.25">
      <c r="A390" s="19" t="s">
        <v>1623</v>
      </c>
      <c r="B390" s="19" t="s">
        <v>1624</v>
      </c>
      <c r="C390" s="19" t="s">
        <v>1625</v>
      </c>
      <c r="D390" s="19" t="s">
        <v>1626</v>
      </c>
      <c r="E390" s="20" t="s">
        <v>40</v>
      </c>
      <c r="F390" s="21">
        <v>3</v>
      </c>
      <c r="G390" s="22" t="s">
        <v>1627</v>
      </c>
      <c r="H390" s="23">
        <v>6000</v>
      </c>
      <c r="I390" s="24">
        <v>66400</v>
      </c>
      <c r="J390" s="23">
        <v>20000</v>
      </c>
      <c r="K390" s="25">
        <f t="shared" si="36"/>
        <v>46400</v>
      </c>
      <c r="L390" s="39">
        <f t="shared" si="37"/>
        <v>7.7333333333333334</v>
      </c>
      <c r="M390" s="27">
        <v>0</v>
      </c>
      <c r="N390" s="28">
        <f t="shared" si="38"/>
        <v>66400</v>
      </c>
      <c r="O390" s="29">
        <f t="shared" si="39"/>
        <v>66400</v>
      </c>
      <c r="P390" s="29">
        <f t="shared" si="40"/>
        <v>66400</v>
      </c>
      <c r="Q390" s="30" t="e" cm="1">
        <f t="array" aca="1" ref="Q390" ca="1">spellNumber(P390)</f>
        <v>#NAME?</v>
      </c>
      <c r="R390" s="31">
        <f t="shared" si="41"/>
        <v>66600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  <c r="X390" s="32">
        <v>14600</v>
      </c>
      <c r="Y390" s="32">
        <v>0</v>
      </c>
      <c r="Z390" s="32">
        <v>0</v>
      </c>
      <c r="AA390" s="33">
        <v>7000</v>
      </c>
      <c r="AB390" s="34">
        <v>0</v>
      </c>
      <c r="AC390" s="35">
        <v>6000</v>
      </c>
      <c r="AD390" s="36"/>
    </row>
    <row r="391" spans="1:30" ht="16.5" customHeight="1" x14ac:dyDescent="0.25">
      <c r="A391" s="19" t="s">
        <v>1628</v>
      </c>
      <c r="B391" s="19" t="s">
        <v>1629</v>
      </c>
      <c r="C391" s="19" t="s">
        <v>1630</v>
      </c>
      <c r="D391" s="19" t="s">
        <v>1631</v>
      </c>
      <c r="E391" s="20"/>
      <c r="F391" s="21">
        <v>1</v>
      </c>
      <c r="G391" s="47" t="s">
        <v>1632</v>
      </c>
      <c r="H391" s="23">
        <v>2000</v>
      </c>
      <c r="I391" s="24">
        <v>10500</v>
      </c>
      <c r="J391" s="23">
        <v>4000</v>
      </c>
      <c r="K391" s="40">
        <f t="shared" si="36"/>
        <v>6500</v>
      </c>
      <c r="L391" s="41">
        <f t="shared" si="37"/>
        <v>3.25</v>
      </c>
      <c r="M391" s="27">
        <v>0</v>
      </c>
      <c r="N391" s="28">
        <f t="shared" si="38"/>
        <v>10500</v>
      </c>
      <c r="O391" s="29">
        <f t="shared" si="39"/>
        <v>10500</v>
      </c>
      <c r="P391" s="29">
        <f t="shared" si="40"/>
        <v>10500</v>
      </c>
      <c r="Q391" s="30" t="e" cm="1">
        <f t="array" aca="1" ref="Q391" ca="1">spellNumber(P391)</f>
        <v>#NAME?</v>
      </c>
      <c r="R391" s="31">
        <f t="shared" si="41"/>
        <v>10700</v>
      </c>
      <c r="S391" s="32">
        <v>0</v>
      </c>
      <c r="T391" s="32">
        <v>3000</v>
      </c>
      <c r="U391" s="32">
        <v>3000</v>
      </c>
      <c r="V391" s="32">
        <v>0</v>
      </c>
      <c r="W391" s="32">
        <v>0</v>
      </c>
      <c r="X391" s="32">
        <v>0</v>
      </c>
      <c r="Y391" s="32">
        <v>10000</v>
      </c>
      <c r="Z391" s="32">
        <v>0</v>
      </c>
      <c r="AA391" s="33">
        <v>0</v>
      </c>
      <c r="AB391" s="34">
        <v>0</v>
      </c>
      <c r="AC391" s="35">
        <v>0</v>
      </c>
      <c r="AD391" s="36"/>
    </row>
    <row r="392" spans="1:30" ht="16.5" customHeight="1" x14ac:dyDescent="0.25">
      <c r="A392" s="19" t="s">
        <v>1633</v>
      </c>
      <c r="B392" s="19" t="s">
        <v>1634</v>
      </c>
      <c r="C392" s="19" t="s">
        <v>845</v>
      </c>
      <c r="D392" s="19" t="s">
        <v>1635</v>
      </c>
      <c r="E392" s="20"/>
      <c r="F392" s="21">
        <v>2</v>
      </c>
      <c r="G392" s="22" t="s">
        <v>847</v>
      </c>
      <c r="H392" s="23">
        <v>3800</v>
      </c>
      <c r="I392" s="24">
        <v>3800</v>
      </c>
      <c r="J392" s="23">
        <v>3800</v>
      </c>
      <c r="K392" s="25">
        <f t="shared" si="36"/>
        <v>0</v>
      </c>
      <c r="L392" s="26">
        <f t="shared" si="37"/>
        <v>0</v>
      </c>
      <c r="M392" s="27">
        <v>0</v>
      </c>
      <c r="N392" s="28">
        <f t="shared" si="38"/>
        <v>3800</v>
      </c>
      <c r="O392" s="29">
        <f t="shared" si="39"/>
        <v>3800</v>
      </c>
      <c r="P392" s="29">
        <f t="shared" si="40"/>
        <v>3800</v>
      </c>
      <c r="Q392" s="30" t="e" cm="1">
        <f t="array" aca="1" ref="Q392" ca="1">spellNumber(P392)</f>
        <v>#NAME?</v>
      </c>
      <c r="R392" s="31">
        <f t="shared" si="41"/>
        <v>4000</v>
      </c>
      <c r="S392" s="32">
        <v>4000</v>
      </c>
      <c r="T392" s="32">
        <v>7600</v>
      </c>
      <c r="U392" s="32">
        <v>3800</v>
      </c>
      <c r="V392" s="32">
        <v>0</v>
      </c>
      <c r="W392" s="32">
        <v>0</v>
      </c>
      <c r="X392" s="32">
        <v>7600</v>
      </c>
      <c r="Y392" s="32">
        <v>7600</v>
      </c>
      <c r="Z392" s="32">
        <v>3800</v>
      </c>
      <c r="AA392" s="33">
        <v>3800</v>
      </c>
      <c r="AB392" s="34">
        <v>3800</v>
      </c>
      <c r="AC392" s="35">
        <v>3800</v>
      </c>
      <c r="AD392" s="36"/>
    </row>
    <row r="393" spans="1:30" ht="16.5" customHeight="1" x14ac:dyDescent="0.25">
      <c r="A393" s="19" t="s">
        <v>1636</v>
      </c>
      <c r="B393" s="19" t="s">
        <v>1637</v>
      </c>
      <c r="C393" s="19" t="s">
        <v>1150</v>
      </c>
      <c r="D393" s="19" t="s">
        <v>1631</v>
      </c>
      <c r="E393" s="20"/>
      <c r="F393" s="21">
        <v>1</v>
      </c>
      <c r="G393" s="47" t="s">
        <v>1632</v>
      </c>
      <c r="H393" s="23">
        <v>2000</v>
      </c>
      <c r="I393" s="24">
        <v>2200</v>
      </c>
      <c r="J393" s="23">
        <v>2200</v>
      </c>
      <c r="K393" s="37">
        <f t="shared" si="36"/>
        <v>0</v>
      </c>
      <c r="L393" s="38">
        <f t="shared" si="37"/>
        <v>0</v>
      </c>
      <c r="M393" s="27">
        <v>0</v>
      </c>
      <c r="N393" s="28">
        <f t="shared" si="38"/>
        <v>2200</v>
      </c>
      <c r="O393" s="29">
        <f t="shared" si="39"/>
        <v>2200</v>
      </c>
      <c r="P393" s="29">
        <f t="shared" si="40"/>
        <v>2200</v>
      </c>
      <c r="Q393" s="30" t="e" cm="1">
        <f t="array" aca="1" ref="Q393" ca="1">spellNumber(P393)</f>
        <v>#NAME?</v>
      </c>
      <c r="R393" s="31">
        <f t="shared" si="41"/>
        <v>2400</v>
      </c>
      <c r="S393" s="32">
        <v>2500</v>
      </c>
      <c r="T393" s="32">
        <v>4000</v>
      </c>
      <c r="U393" s="32">
        <v>2000</v>
      </c>
      <c r="V393" s="32">
        <v>0</v>
      </c>
      <c r="W393" s="32">
        <v>0</v>
      </c>
      <c r="X393" s="32">
        <v>0</v>
      </c>
      <c r="Y393" s="32">
        <v>5000</v>
      </c>
      <c r="Z393" s="32">
        <v>2600</v>
      </c>
      <c r="AA393" s="33">
        <v>3600</v>
      </c>
      <c r="AB393" s="34">
        <v>2300</v>
      </c>
      <c r="AC393" s="35">
        <v>2300</v>
      </c>
      <c r="AD393" s="36"/>
    </row>
    <row r="394" spans="1:30" ht="16.5" customHeight="1" x14ac:dyDescent="0.25">
      <c r="A394" s="19" t="s">
        <v>1638</v>
      </c>
      <c r="B394" s="19" t="s">
        <v>1639</v>
      </c>
      <c r="C394" s="19" t="s">
        <v>1640</v>
      </c>
      <c r="D394" s="19" t="s">
        <v>1641</v>
      </c>
      <c r="E394" s="20" t="s">
        <v>34</v>
      </c>
      <c r="F394" s="21">
        <v>2</v>
      </c>
      <c r="G394" s="22" t="s">
        <v>1642</v>
      </c>
      <c r="H394" s="23">
        <v>3800</v>
      </c>
      <c r="I394" s="24">
        <v>17280</v>
      </c>
      <c r="J394" s="23">
        <v>5000</v>
      </c>
      <c r="K394" s="25">
        <f t="shared" si="36"/>
        <v>12280</v>
      </c>
      <c r="L394" s="39">
        <f t="shared" si="37"/>
        <v>3.2315789473684209</v>
      </c>
      <c r="M394" s="27">
        <v>0</v>
      </c>
      <c r="N394" s="28">
        <f t="shared" si="38"/>
        <v>17280</v>
      </c>
      <c r="O394" s="29">
        <f t="shared" si="39"/>
        <v>17280</v>
      </c>
      <c r="P394" s="29">
        <f t="shared" si="40"/>
        <v>17300</v>
      </c>
      <c r="Q394" s="30" t="e" cm="1">
        <f t="array" aca="1" ref="Q394" ca="1">spellNumber(P394)</f>
        <v>#NAME?</v>
      </c>
      <c r="R394" s="31">
        <f t="shared" si="41"/>
        <v>17500</v>
      </c>
      <c r="S394" s="32">
        <v>6000</v>
      </c>
      <c r="T394" s="32">
        <v>0</v>
      </c>
      <c r="U394" s="32">
        <v>7000</v>
      </c>
      <c r="V394" s="32">
        <v>0</v>
      </c>
      <c r="W394" s="32">
        <v>5000</v>
      </c>
      <c r="X394" s="32">
        <v>0</v>
      </c>
      <c r="Y394" s="32">
        <v>0</v>
      </c>
      <c r="Z394" s="32">
        <v>7320</v>
      </c>
      <c r="AA394" s="33">
        <v>4000</v>
      </c>
      <c r="AB394" s="34">
        <v>0</v>
      </c>
      <c r="AC394" s="35">
        <v>5000</v>
      </c>
      <c r="AD394" s="36"/>
    </row>
    <row r="395" spans="1:30" ht="16.5" customHeight="1" x14ac:dyDescent="0.25">
      <c r="A395" s="19" t="s">
        <v>1643</v>
      </c>
      <c r="B395" s="19" t="s">
        <v>1644</v>
      </c>
      <c r="C395" s="19" t="s">
        <v>619</v>
      </c>
      <c r="D395" s="19" t="s">
        <v>1631</v>
      </c>
      <c r="E395" s="20"/>
      <c r="F395" s="21">
        <v>1</v>
      </c>
      <c r="G395" s="47" t="s">
        <v>1645</v>
      </c>
      <c r="H395" s="23">
        <v>1800</v>
      </c>
      <c r="I395" s="24">
        <v>2150</v>
      </c>
      <c r="J395" s="23">
        <v>2150</v>
      </c>
      <c r="K395" s="40">
        <f t="shared" si="36"/>
        <v>0</v>
      </c>
      <c r="L395" s="41">
        <f t="shared" si="37"/>
        <v>0</v>
      </c>
      <c r="M395" s="27">
        <v>0</v>
      </c>
      <c r="N395" s="28">
        <f t="shared" si="38"/>
        <v>2150</v>
      </c>
      <c r="O395" s="29">
        <f t="shared" si="39"/>
        <v>2150</v>
      </c>
      <c r="P395" s="29">
        <f t="shared" si="40"/>
        <v>2200</v>
      </c>
      <c r="Q395" s="30" t="e" cm="1">
        <f t="array" aca="1" ref="Q395" ca="1">spellNumber(P395)</f>
        <v>#NAME?</v>
      </c>
      <c r="R395" s="31">
        <f t="shared" si="41"/>
        <v>2400</v>
      </c>
      <c r="S395" s="32">
        <v>4800</v>
      </c>
      <c r="T395" s="32">
        <v>1800</v>
      </c>
      <c r="U395" s="32">
        <v>1800</v>
      </c>
      <c r="V395" s="32">
        <v>0</v>
      </c>
      <c r="W395" s="32">
        <v>0</v>
      </c>
      <c r="X395" s="32">
        <v>3600</v>
      </c>
      <c r="Y395" s="32">
        <v>3600</v>
      </c>
      <c r="Z395" s="32">
        <v>0</v>
      </c>
      <c r="AA395" s="33">
        <v>2450</v>
      </c>
      <c r="AB395" s="34">
        <v>2200</v>
      </c>
      <c r="AC395" s="35">
        <v>2200</v>
      </c>
      <c r="AD395" s="36"/>
    </row>
    <row r="396" spans="1:30" ht="16.5" customHeight="1" x14ac:dyDescent="0.25">
      <c r="A396" s="19" t="s">
        <v>1646</v>
      </c>
      <c r="B396" s="19" t="s">
        <v>1647</v>
      </c>
      <c r="C396" s="19" t="s">
        <v>830</v>
      </c>
      <c r="D396" s="19" t="s">
        <v>434</v>
      </c>
      <c r="E396" s="20" t="s">
        <v>40</v>
      </c>
      <c r="F396" s="21">
        <v>1</v>
      </c>
      <c r="G396" s="48" t="s">
        <v>956</v>
      </c>
      <c r="H396" s="23">
        <v>2500</v>
      </c>
      <c r="I396" s="24">
        <v>13500</v>
      </c>
      <c r="J396" s="23">
        <v>5000</v>
      </c>
      <c r="K396" s="25">
        <f t="shared" si="36"/>
        <v>8500</v>
      </c>
      <c r="L396" s="26">
        <f t="shared" si="37"/>
        <v>3.4</v>
      </c>
      <c r="M396" s="27">
        <v>0</v>
      </c>
      <c r="N396" s="28">
        <f t="shared" si="38"/>
        <v>13500</v>
      </c>
      <c r="O396" s="29">
        <f t="shared" si="39"/>
        <v>13500</v>
      </c>
      <c r="P396" s="29">
        <f t="shared" si="40"/>
        <v>13500</v>
      </c>
      <c r="Q396" s="30" t="e" cm="1">
        <f t="array" aca="1" ref="Q396" ca="1">spellNumber(P396)</f>
        <v>#NAME?</v>
      </c>
      <c r="R396" s="31">
        <f t="shared" si="41"/>
        <v>13700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  <c r="X396" s="32">
        <v>2500</v>
      </c>
      <c r="Y396" s="32">
        <v>2500</v>
      </c>
      <c r="Z396" s="32">
        <v>0</v>
      </c>
      <c r="AA396" s="33">
        <v>4500</v>
      </c>
      <c r="AB396" s="34">
        <v>0</v>
      </c>
      <c r="AC396" s="35">
        <v>0</v>
      </c>
      <c r="AD396" s="36"/>
    </row>
    <row r="397" spans="1:30" s="46" customFormat="1" ht="16.5" customHeight="1" x14ac:dyDescent="0.25">
      <c r="A397" s="19" t="s">
        <v>1648</v>
      </c>
      <c r="B397" s="19" t="s">
        <v>1549</v>
      </c>
      <c r="C397" s="19" t="s">
        <v>1649</v>
      </c>
      <c r="D397" s="19" t="s">
        <v>697</v>
      </c>
      <c r="E397" s="20"/>
      <c r="F397" s="21">
        <v>1</v>
      </c>
      <c r="G397" s="45" t="s">
        <v>1650</v>
      </c>
      <c r="H397" s="23">
        <v>2000</v>
      </c>
      <c r="I397" s="24">
        <v>2000</v>
      </c>
      <c r="J397" s="23">
        <v>2000</v>
      </c>
      <c r="K397" s="25">
        <f t="shared" si="36"/>
        <v>0</v>
      </c>
      <c r="L397" s="26">
        <f t="shared" si="37"/>
        <v>0</v>
      </c>
      <c r="M397" s="27">
        <v>0</v>
      </c>
      <c r="N397" s="28">
        <f t="shared" si="38"/>
        <v>2000</v>
      </c>
      <c r="O397" s="29">
        <f t="shared" si="39"/>
        <v>2000</v>
      </c>
      <c r="P397" s="29">
        <f t="shared" si="40"/>
        <v>2000</v>
      </c>
      <c r="Q397" s="30" t="e" cm="1">
        <f t="array" aca="1" ref="Q397" ca="1">spellNumber(P397)</f>
        <v>#NAME?</v>
      </c>
      <c r="R397" s="31">
        <f t="shared" si="41"/>
        <v>2200</v>
      </c>
      <c r="S397" s="32">
        <v>4500</v>
      </c>
      <c r="T397" s="32">
        <v>2000</v>
      </c>
      <c r="U397" s="32">
        <v>2000</v>
      </c>
      <c r="V397" s="32">
        <v>0</v>
      </c>
      <c r="W397" s="32">
        <v>0</v>
      </c>
      <c r="X397" s="32">
        <v>6000</v>
      </c>
      <c r="Y397" s="32">
        <v>2000</v>
      </c>
      <c r="Z397" s="32">
        <v>2000</v>
      </c>
      <c r="AA397" s="33">
        <v>2000</v>
      </c>
      <c r="AB397" s="34">
        <v>0</v>
      </c>
      <c r="AC397" s="35">
        <v>4000</v>
      </c>
      <c r="AD397" s="36"/>
    </row>
    <row r="398" spans="1:30" ht="16.5" customHeight="1" x14ac:dyDescent="0.25">
      <c r="A398" s="19" t="s">
        <v>1651</v>
      </c>
      <c r="B398" s="19" t="s">
        <v>1652</v>
      </c>
      <c r="C398" s="19" t="s">
        <v>1653</v>
      </c>
      <c r="D398" s="19" t="s">
        <v>697</v>
      </c>
      <c r="E398" s="20"/>
      <c r="F398" s="21">
        <v>1</v>
      </c>
      <c r="G398" s="47" t="s">
        <v>1477</v>
      </c>
      <c r="H398" s="23">
        <v>2000</v>
      </c>
      <c r="I398" s="24">
        <v>4000</v>
      </c>
      <c r="J398" s="23">
        <v>4000</v>
      </c>
      <c r="K398" s="25">
        <f t="shared" si="36"/>
        <v>0</v>
      </c>
      <c r="L398" s="26">
        <f t="shared" si="37"/>
        <v>0</v>
      </c>
      <c r="M398" s="27">
        <v>0</v>
      </c>
      <c r="N398" s="28">
        <f t="shared" si="38"/>
        <v>4000</v>
      </c>
      <c r="O398" s="29">
        <f t="shared" si="39"/>
        <v>4000</v>
      </c>
      <c r="P398" s="29">
        <f t="shared" si="40"/>
        <v>4000</v>
      </c>
      <c r="Q398" s="30" t="e" cm="1">
        <f t="array" aca="1" ref="Q398" ca="1">spellNumber(P398)</f>
        <v>#NAME?</v>
      </c>
      <c r="R398" s="31">
        <f t="shared" si="41"/>
        <v>4200</v>
      </c>
      <c r="S398" s="32">
        <v>3000</v>
      </c>
      <c r="T398" s="32">
        <v>2000</v>
      </c>
      <c r="U398" s="32">
        <v>0</v>
      </c>
      <c r="V398" s="32">
        <v>0</v>
      </c>
      <c r="W398" s="32">
        <v>0</v>
      </c>
      <c r="X398" s="32">
        <v>4000</v>
      </c>
      <c r="Y398" s="32">
        <v>6000</v>
      </c>
      <c r="Z398" s="32">
        <v>2000</v>
      </c>
      <c r="AA398" s="33">
        <v>2000</v>
      </c>
      <c r="AB398" s="34">
        <v>2000</v>
      </c>
      <c r="AC398" s="35">
        <v>0</v>
      </c>
      <c r="AD398" s="36"/>
    </row>
    <row r="399" spans="1:30" ht="16.5" customHeight="1" x14ac:dyDescent="0.25">
      <c r="A399" s="19" t="s">
        <v>1654</v>
      </c>
      <c r="B399" s="19" t="s">
        <v>1655</v>
      </c>
      <c r="C399" s="19" t="s">
        <v>935</v>
      </c>
      <c r="D399" s="19" t="s">
        <v>1656</v>
      </c>
      <c r="E399" s="20" t="s">
        <v>34</v>
      </c>
      <c r="F399" s="21">
        <v>3</v>
      </c>
      <c r="G399" s="22" t="s">
        <v>1657</v>
      </c>
      <c r="H399" s="23">
        <v>7000</v>
      </c>
      <c r="I399" s="24">
        <v>61000</v>
      </c>
      <c r="J399" s="23">
        <v>20000</v>
      </c>
      <c r="K399" s="25">
        <f t="shared" si="36"/>
        <v>41000</v>
      </c>
      <c r="L399" s="26">
        <f t="shared" si="37"/>
        <v>5.8571428571428568</v>
      </c>
      <c r="M399" s="27">
        <v>0</v>
      </c>
      <c r="N399" s="28">
        <f t="shared" si="38"/>
        <v>61000</v>
      </c>
      <c r="O399" s="29">
        <f t="shared" si="39"/>
        <v>61000</v>
      </c>
      <c r="P399" s="29">
        <f t="shared" si="40"/>
        <v>61000</v>
      </c>
      <c r="Q399" s="30" t="e" cm="1">
        <f t="array" aca="1" ref="Q399" ca="1">spellNumber(P399)</f>
        <v>#NAME?</v>
      </c>
      <c r="R399" s="31">
        <f t="shared" si="41"/>
        <v>61200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  <c r="X399" s="32">
        <v>0</v>
      </c>
      <c r="Y399" s="32">
        <v>0</v>
      </c>
      <c r="Z399" s="32">
        <v>0</v>
      </c>
      <c r="AA399" s="33">
        <v>20000</v>
      </c>
      <c r="AB399" s="34">
        <v>0</v>
      </c>
      <c r="AC399" s="35">
        <v>0</v>
      </c>
      <c r="AD399" s="36"/>
    </row>
    <row r="400" spans="1:30" ht="16.5" customHeight="1" x14ac:dyDescent="0.25">
      <c r="A400" s="19" t="s">
        <v>1658</v>
      </c>
      <c r="B400" s="19" t="s">
        <v>1659</v>
      </c>
      <c r="C400" s="19" t="s">
        <v>985</v>
      </c>
      <c r="D400" s="19" t="s">
        <v>493</v>
      </c>
      <c r="E400" s="20"/>
      <c r="F400" s="21">
        <v>1</v>
      </c>
      <c r="G400" s="53"/>
      <c r="H400" s="23">
        <v>0</v>
      </c>
      <c r="I400" s="24">
        <v>0</v>
      </c>
      <c r="J400" s="23">
        <v>0</v>
      </c>
      <c r="K400" s="25">
        <f t="shared" si="36"/>
        <v>0</v>
      </c>
      <c r="L400" s="26" t="e">
        <f t="shared" si="37"/>
        <v>#DIV/0!</v>
      </c>
      <c r="M400" s="27">
        <v>0</v>
      </c>
      <c r="N400" s="28">
        <f t="shared" si="38"/>
        <v>0</v>
      </c>
      <c r="O400" s="29">
        <f t="shared" si="39"/>
        <v>0</v>
      </c>
      <c r="P400" s="29">
        <f t="shared" si="40"/>
        <v>0</v>
      </c>
      <c r="Q400" s="30" t="e" cm="1">
        <f t="array" aca="1" ref="Q400" ca="1">spellNumber(P400)</f>
        <v>#NAME?</v>
      </c>
      <c r="R400" s="31">
        <f t="shared" si="41"/>
        <v>200</v>
      </c>
      <c r="S400" s="32">
        <v>1800</v>
      </c>
      <c r="T400" s="32">
        <v>0</v>
      </c>
      <c r="U400" s="32">
        <v>0</v>
      </c>
      <c r="V400" s="32">
        <v>0</v>
      </c>
      <c r="W400" s="32">
        <v>0</v>
      </c>
      <c r="X400" s="32">
        <v>0</v>
      </c>
      <c r="Y400" s="32">
        <v>0</v>
      </c>
      <c r="Z400" s="32">
        <v>0</v>
      </c>
      <c r="AA400" s="33">
        <v>0</v>
      </c>
      <c r="AB400" s="34">
        <v>0</v>
      </c>
      <c r="AC400" s="35">
        <v>0</v>
      </c>
      <c r="AD400" s="36"/>
    </row>
    <row r="401" spans="1:30" ht="16.5" customHeight="1" x14ac:dyDescent="0.25">
      <c r="A401" s="19" t="s">
        <v>1660</v>
      </c>
      <c r="B401" s="19" t="s">
        <v>1661</v>
      </c>
      <c r="C401" s="19" t="s">
        <v>1662</v>
      </c>
      <c r="D401" s="19" t="s">
        <v>1156</v>
      </c>
      <c r="E401" s="20"/>
      <c r="F401" s="21">
        <v>1</v>
      </c>
      <c r="G401" s="22" t="s">
        <v>1663</v>
      </c>
      <c r="H401" s="23">
        <v>2000</v>
      </c>
      <c r="I401" s="24">
        <v>2000</v>
      </c>
      <c r="J401" s="23">
        <v>0</v>
      </c>
      <c r="K401" s="25">
        <f t="shared" si="36"/>
        <v>2000</v>
      </c>
      <c r="L401" s="26">
        <f t="shared" si="37"/>
        <v>1</v>
      </c>
      <c r="M401" s="27">
        <v>0</v>
      </c>
      <c r="N401" s="28">
        <f t="shared" si="38"/>
        <v>2000</v>
      </c>
      <c r="O401" s="29">
        <f t="shared" si="39"/>
        <v>2000</v>
      </c>
      <c r="P401" s="29">
        <f t="shared" si="40"/>
        <v>2000</v>
      </c>
      <c r="Q401" s="30" t="e" cm="1">
        <f t="array" aca="1" ref="Q401" ca="1">spellNumber(P401)</f>
        <v>#NAME?</v>
      </c>
      <c r="R401" s="31">
        <f t="shared" si="41"/>
        <v>2200</v>
      </c>
      <c r="S401" s="32">
        <v>4500</v>
      </c>
      <c r="T401" s="32">
        <v>2000</v>
      </c>
      <c r="U401" s="32">
        <v>0</v>
      </c>
      <c r="V401" s="32">
        <v>0</v>
      </c>
      <c r="W401" s="32">
        <v>0</v>
      </c>
      <c r="X401" s="32">
        <v>6000</v>
      </c>
      <c r="Y401" s="32">
        <v>2000</v>
      </c>
      <c r="Z401" s="32">
        <v>2000</v>
      </c>
      <c r="AA401" s="33">
        <v>2000</v>
      </c>
      <c r="AB401" s="34">
        <v>2000</v>
      </c>
      <c r="AC401" s="35">
        <v>2000</v>
      </c>
      <c r="AD401" s="36"/>
    </row>
    <row r="402" spans="1:30" ht="16.5" customHeight="1" x14ac:dyDescent="0.25">
      <c r="A402" s="19" t="s">
        <v>1664</v>
      </c>
      <c r="B402" s="19" t="s">
        <v>1665</v>
      </c>
      <c r="C402" s="19" t="s">
        <v>1666</v>
      </c>
      <c r="D402" s="19" t="s">
        <v>697</v>
      </c>
      <c r="E402" s="20"/>
      <c r="F402" s="21">
        <v>1</v>
      </c>
      <c r="G402" s="47" t="s">
        <v>1667</v>
      </c>
      <c r="H402" s="23">
        <v>2200</v>
      </c>
      <c r="I402" s="24">
        <v>0</v>
      </c>
      <c r="J402" s="23">
        <v>0</v>
      </c>
      <c r="K402" s="25">
        <f t="shared" si="36"/>
        <v>0</v>
      </c>
      <c r="L402" s="26">
        <f t="shared" si="37"/>
        <v>0</v>
      </c>
      <c r="M402" s="27">
        <v>0</v>
      </c>
      <c r="N402" s="28">
        <f t="shared" si="38"/>
        <v>0</v>
      </c>
      <c r="O402" s="29">
        <f t="shared" si="39"/>
        <v>0</v>
      </c>
      <c r="P402" s="29">
        <f t="shared" si="40"/>
        <v>0</v>
      </c>
      <c r="Q402" s="30" t="e" cm="1">
        <f t="array" aca="1" ref="Q402" ca="1">spellNumber(P402)</f>
        <v>#NAME?</v>
      </c>
      <c r="R402" s="31">
        <f t="shared" si="41"/>
        <v>200</v>
      </c>
      <c r="S402" s="32">
        <v>24000</v>
      </c>
      <c r="T402" s="32">
        <v>0</v>
      </c>
      <c r="U402" s="32">
        <v>0</v>
      </c>
      <c r="V402" s="32">
        <v>0</v>
      </c>
      <c r="W402" s="32">
        <v>0</v>
      </c>
      <c r="X402" s="32">
        <v>0</v>
      </c>
      <c r="Y402" s="32">
        <v>0</v>
      </c>
      <c r="Z402" s="32">
        <v>0</v>
      </c>
      <c r="AA402" s="33">
        <v>0</v>
      </c>
      <c r="AB402" s="34">
        <v>0</v>
      </c>
      <c r="AC402" s="35">
        <v>0</v>
      </c>
      <c r="AD402" s="36"/>
    </row>
    <row r="403" spans="1:30" ht="16.5" customHeight="1" x14ac:dyDescent="0.25">
      <c r="A403" s="19" t="s">
        <v>1668</v>
      </c>
      <c r="B403" s="19" t="s">
        <v>1669</v>
      </c>
      <c r="C403" s="19" t="s">
        <v>1670</v>
      </c>
      <c r="D403" s="19" t="s">
        <v>697</v>
      </c>
      <c r="E403" s="20"/>
      <c r="F403" s="21">
        <v>1</v>
      </c>
      <c r="G403" s="22" t="s">
        <v>1671</v>
      </c>
      <c r="H403" s="23">
        <v>2000</v>
      </c>
      <c r="I403" s="24">
        <v>2000</v>
      </c>
      <c r="J403" s="23">
        <v>2000</v>
      </c>
      <c r="K403" s="25">
        <f t="shared" si="36"/>
        <v>0</v>
      </c>
      <c r="L403" s="26">
        <f t="shared" si="37"/>
        <v>0</v>
      </c>
      <c r="M403" s="27">
        <v>0</v>
      </c>
      <c r="N403" s="28">
        <f t="shared" si="38"/>
        <v>2000</v>
      </c>
      <c r="O403" s="29">
        <f t="shared" si="39"/>
        <v>2000</v>
      </c>
      <c r="P403" s="29">
        <f t="shared" si="40"/>
        <v>2000</v>
      </c>
      <c r="Q403" s="30" t="e" cm="1">
        <f t="array" aca="1" ref="Q403" ca="1">spellNumber(P403)</f>
        <v>#NAME?</v>
      </c>
      <c r="R403" s="31">
        <f t="shared" si="41"/>
        <v>2200</v>
      </c>
      <c r="S403" s="32">
        <v>4000</v>
      </c>
      <c r="T403" s="32">
        <v>2000</v>
      </c>
      <c r="U403" s="32">
        <v>2000</v>
      </c>
      <c r="V403" s="32">
        <v>0</v>
      </c>
      <c r="W403" s="32">
        <v>0</v>
      </c>
      <c r="X403" s="32">
        <v>6000</v>
      </c>
      <c r="Y403" s="32">
        <v>2000</v>
      </c>
      <c r="Z403" s="32">
        <v>2000</v>
      </c>
      <c r="AA403" s="33">
        <v>2000</v>
      </c>
      <c r="AB403" s="34">
        <v>2000</v>
      </c>
      <c r="AC403" s="35">
        <v>2000</v>
      </c>
      <c r="AD403" s="36"/>
    </row>
    <row r="404" spans="1:30" ht="16.5" customHeight="1" x14ac:dyDescent="0.25">
      <c r="A404" s="19" t="s">
        <v>1672</v>
      </c>
      <c r="B404" s="19" t="s">
        <v>1673</v>
      </c>
      <c r="C404" s="19" t="s">
        <v>1674</v>
      </c>
      <c r="D404" s="19" t="s">
        <v>697</v>
      </c>
      <c r="E404" s="20"/>
      <c r="F404" s="21">
        <v>1</v>
      </c>
      <c r="G404" s="22" t="s">
        <v>1675</v>
      </c>
      <c r="H404" s="23">
        <v>2000</v>
      </c>
      <c r="I404" s="24">
        <v>2000</v>
      </c>
      <c r="J404" s="23">
        <v>0</v>
      </c>
      <c r="K404" s="25">
        <f t="shared" si="36"/>
        <v>2000</v>
      </c>
      <c r="L404" s="26">
        <f t="shared" si="37"/>
        <v>1</v>
      </c>
      <c r="M404" s="27">
        <v>0</v>
      </c>
      <c r="N404" s="28">
        <f t="shared" si="38"/>
        <v>2000</v>
      </c>
      <c r="O404" s="29">
        <f t="shared" si="39"/>
        <v>2000</v>
      </c>
      <c r="P404" s="29">
        <f t="shared" si="40"/>
        <v>2000</v>
      </c>
      <c r="Q404" s="30" t="e" cm="1">
        <f t="array" aca="1" ref="Q404" ca="1">spellNumber(P404)</f>
        <v>#NAME?</v>
      </c>
      <c r="R404" s="31">
        <f t="shared" si="41"/>
        <v>2200</v>
      </c>
      <c r="S404" s="32">
        <v>4500</v>
      </c>
      <c r="T404" s="32">
        <v>2000</v>
      </c>
      <c r="U404" s="32">
        <v>0</v>
      </c>
      <c r="V404" s="32">
        <v>2000</v>
      </c>
      <c r="W404" s="32">
        <v>0</v>
      </c>
      <c r="X404" s="32">
        <v>6000</v>
      </c>
      <c r="Y404" s="32">
        <v>2000</v>
      </c>
      <c r="Z404" s="32">
        <v>2000</v>
      </c>
      <c r="AA404" s="33">
        <v>2000</v>
      </c>
      <c r="AB404" s="34">
        <v>2000</v>
      </c>
      <c r="AC404" s="35">
        <v>0</v>
      </c>
      <c r="AD404" s="36"/>
    </row>
    <row r="405" spans="1:30" ht="16.5" customHeight="1" x14ac:dyDescent="0.25">
      <c r="A405" s="19" t="s">
        <v>1676</v>
      </c>
      <c r="B405" s="19" t="s">
        <v>1677</v>
      </c>
      <c r="C405" s="19" t="s">
        <v>1678</v>
      </c>
      <c r="D405" s="19" t="s">
        <v>697</v>
      </c>
      <c r="E405" s="20"/>
      <c r="F405" s="21">
        <v>1</v>
      </c>
      <c r="G405" s="22" t="s">
        <v>1679</v>
      </c>
      <c r="H405" s="23">
        <v>1800</v>
      </c>
      <c r="I405" s="24">
        <v>4680</v>
      </c>
      <c r="J405" s="23">
        <v>1800</v>
      </c>
      <c r="K405" s="25">
        <f t="shared" si="36"/>
        <v>2880</v>
      </c>
      <c r="L405" s="26">
        <f t="shared" si="37"/>
        <v>1.6</v>
      </c>
      <c r="M405" s="27">
        <v>0</v>
      </c>
      <c r="N405" s="28">
        <f t="shared" si="38"/>
        <v>4680</v>
      </c>
      <c r="O405" s="29">
        <f t="shared" si="39"/>
        <v>4680</v>
      </c>
      <c r="P405" s="29">
        <f t="shared" si="40"/>
        <v>4700</v>
      </c>
      <c r="Q405" s="30" t="e" cm="1">
        <f t="array" aca="1" ref="Q405" ca="1">spellNumber(P405)</f>
        <v>#NAME?</v>
      </c>
      <c r="R405" s="31">
        <f t="shared" si="41"/>
        <v>4900</v>
      </c>
      <c r="S405" s="32">
        <v>4300</v>
      </c>
      <c r="T405" s="32">
        <v>1800</v>
      </c>
      <c r="U405" s="32">
        <v>1800</v>
      </c>
      <c r="V405" s="32">
        <v>0</v>
      </c>
      <c r="W405" s="32">
        <v>0</v>
      </c>
      <c r="X405" s="32">
        <v>0</v>
      </c>
      <c r="Y405" s="32">
        <v>3600</v>
      </c>
      <c r="Z405" s="32">
        <v>2520</v>
      </c>
      <c r="AA405" s="33">
        <v>1800</v>
      </c>
      <c r="AB405" s="34">
        <v>1800</v>
      </c>
      <c r="AC405" s="35">
        <v>1800</v>
      </c>
      <c r="AD405" s="36"/>
    </row>
    <row r="406" spans="1:30" ht="16.5" customHeight="1" x14ac:dyDescent="0.25">
      <c r="A406" s="19" t="s">
        <v>1680</v>
      </c>
      <c r="B406" s="19" t="s">
        <v>1681</v>
      </c>
      <c r="C406" s="19" t="s">
        <v>1682</v>
      </c>
      <c r="D406" s="19" t="s">
        <v>697</v>
      </c>
      <c r="E406" s="20"/>
      <c r="F406" s="21">
        <v>1</v>
      </c>
      <c r="G406" s="22" t="s">
        <v>1279</v>
      </c>
      <c r="H406" s="23">
        <v>2000</v>
      </c>
      <c r="I406" s="24">
        <v>9000</v>
      </c>
      <c r="J406" s="23">
        <v>0</v>
      </c>
      <c r="K406" s="25">
        <f t="shared" si="36"/>
        <v>9000</v>
      </c>
      <c r="L406" s="26">
        <f t="shared" si="37"/>
        <v>4.5</v>
      </c>
      <c r="M406" s="27">
        <v>0</v>
      </c>
      <c r="N406" s="28">
        <f t="shared" si="38"/>
        <v>9000</v>
      </c>
      <c r="O406" s="29">
        <f t="shared" si="39"/>
        <v>9000</v>
      </c>
      <c r="P406" s="29">
        <f t="shared" si="40"/>
        <v>9000</v>
      </c>
      <c r="Q406" s="30" t="e" cm="1">
        <f t="array" aca="1" ref="Q406" ca="1">spellNumber(P406)</f>
        <v>#NAME?</v>
      </c>
      <c r="R406" s="31">
        <f t="shared" si="41"/>
        <v>9200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  <c r="X406" s="32">
        <v>0</v>
      </c>
      <c r="Y406" s="32">
        <v>0</v>
      </c>
      <c r="Z406" s="32">
        <v>5000</v>
      </c>
      <c r="AA406" s="33">
        <v>0</v>
      </c>
      <c r="AB406" s="34">
        <v>0</v>
      </c>
      <c r="AC406" s="35">
        <v>0</v>
      </c>
      <c r="AD406" s="36"/>
    </row>
    <row r="407" spans="1:30" ht="16.5" customHeight="1" x14ac:dyDescent="0.25">
      <c r="A407" s="19" t="s">
        <v>1683</v>
      </c>
      <c r="B407" s="19" t="s">
        <v>1684</v>
      </c>
      <c r="C407" s="19" t="s">
        <v>1685</v>
      </c>
      <c r="D407" s="19" t="s">
        <v>1156</v>
      </c>
      <c r="E407" s="20"/>
      <c r="F407" s="21">
        <v>1</v>
      </c>
      <c r="G407" s="47" t="s">
        <v>1686</v>
      </c>
      <c r="H407" s="23">
        <v>1800</v>
      </c>
      <c r="I407" s="24">
        <v>1800</v>
      </c>
      <c r="J407" s="23">
        <v>1800</v>
      </c>
      <c r="K407" s="25">
        <f t="shared" si="36"/>
        <v>0</v>
      </c>
      <c r="L407" s="26">
        <f t="shared" si="37"/>
        <v>0</v>
      </c>
      <c r="M407" s="27">
        <v>0</v>
      </c>
      <c r="N407" s="28">
        <f t="shared" si="38"/>
        <v>1800</v>
      </c>
      <c r="O407" s="29">
        <f t="shared" si="39"/>
        <v>1800</v>
      </c>
      <c r="P407" s="29">
        <f t="shared" si="40"/>
        <v>1800</v>
      </c>
      <c r="Q407" s="30" t="e" cm="1">
        <f t="array" aca="1" ref="Q407" ca="1">spellNumber(P407)</f>
        <v>#NAME?</v>
      </c>
      <c r="R407" s="31">
        <f t="shared" si="41"/>
        <v>2000</v>
      </c>
      <c r="S407" s="32">
        <v>2000</v>
      </c>
      <c r="T407" s="32">
        <v>3600</v>
      </c>
      <c r="U407" s="32">
        <v>1800</v>
      </c>
      <c r="V407" s="32">
        <v>0</v>
      </c>
      <c r="W407" s="32">
        <v>0</v>
      </c>
      <c r="X407" s="32">
        <v>5400</v>
      </c>
      <c r="Y407" s="32">
        <v>1800</v>
      </c>
      <c r="Z407" s="32">
        <v>1800</v>
      </c>
      <c r="AA407" s="33">
        <v>1800</v>
      </c>
      <c r="AB407" s="34">
        <v>1800</v>
      </c>
      <c r="AC407" s="35">
        <v>1800</v>
      </c>
      <c r="AD407" s="36"/>
    </row>
    <row r="408" spans="1:30" ht="16.5" customHeight="1" x14ac:dyDescent="0.25">
      <c r="A408" s="19" t="s">
        <v>1687</v>
      </c>
      <c r="B408" s="19" t="s">
        <v>1688</v>
      </c>
      <c r="C408" s="19" t="s">
        <v>1689</v>
      </c>
      <c r="D408" s="19" t="s">
        <v>1017</v>
      </c>
      <c r="E408" s="20"/>
      <c r="F408" s="21">
        <v>1</v>
      </c>
      <c r="G408" s="47" t="s">
        <v>1690</v>
      </c>
      <c r="H408" s="23">
        <v>2000</v>
      </c>
      <c r="I408" s="24">
        <v>2000</v>
      </c>
      <c r="J408" s="23">
        <v>2000</v>
      </c>
      <c r="K408" s="25">
        <f t="shared" si="36"/>
        <v>0</v>
      </c>
      <c r="L408" s="26">
        <f t="shared" si="37"/>
        <v>0</v>
      </c>
      <c r="M408" s="27">
        <v>0</v>
      </c>
      <c r="N408" s="28">
        <f t="shared" si="38"/>
        <v>2000</v>
      </c>
      <c r="O408" s="29">
        <f t="shared" si="39"/>
        <v>2000</v>
      </c>
      <c r="P408" s="29">
        <f t="shared" si="40"/>
        <v>2000</v>
      </c>
      <c r="Q408" s="30" t="e" cm="1">
        <f t="array" aca="1" ref="Q408" ca="1">spellNumber(P408)</f>
        <v>#NAME?</v>
      </c>
      <c r="R408" s="31">
        <f t="shared" si="41"/>
        <v>2200</v>
      </c>
      <c r="S408" s="32">
        <v>4000</v>
      </c>
      <c r="T408" s="32">
        <v>2000</v>
      </c>
      <c r="U408" s="32">
        <v>2000</v>
      </c>
      <c r="V408" s="32">
        <v>2000</v>
      </c>
      <c r="W408" s="32">
        <v>2000</v>
      </c>
      <c r="X408" s="32">
        <v>2000</v>
      </c>
      <c r="Y408" s="32">
        <v>2000</v>
      </c>
      <c r="Z408" s="32">
        <v>2000</v>
      </c>
      <c r="AA408" s="33">
        <v>2000</v>
      </c>
      <c r="AB408" s="34">
        <v>0</v>
      </c>
      <c r="AC408" s="35">
        <v>2000</v>
      </c>
      <c r="AD408" s="36"/>
    </row>
    <row r="409" spans="1:30" ht="16.5" customHeight="1" x14ac:dyDescent="0.25">
      <c r="A409" s="19" t="s">
        <v>1691</v>
      </c>
      <c r="B409" s="19" t="s">
        <v>707</v>
      </c>
      <c r="C409" s="19" t="s">
        <v>707</v>
      </c>
      <c r="D409" s="19" t="s">
        <v>707</v>
      </c>
      <c r="E409" s="20"/>
      <c r="F409" s="21">
        <v>0</v>
      </c>
      <c r="G409" s="47" t="s">
        <v>1157</v>
      </c>
      <c r="H409" s="23">
        <v>0</v>
      </c>
      <c r="I409" s="24">
        <v>0</v>
      </c>
      <c r="J409" s="23">
        <v>0</v>
      </c>
      <c r="K409" s="25">
        <f t="shared" si="36"/>
        <v>0</v>
      </c>
      <c r="L409" s="26" t="e">
        <f t="shared" si="37"/>
        <v>#DIV/0!</v>
      </c>
      <c r="M409" s="27">
        <v>0</v>
      </c>
      <c r="N409" s="28">
        <f t="shared" si="38"/>
        <v>0</v>
      </c>
      <c r="O409" s="29">
        <f t="shared" si="39"/>
        <v>0</v>
      </c>
      <c r="P409" s="29">
        <f t="shared" si="40"/>
        <v>0</v>
      </c>
      <c r="Q409" s="30" t="e" cm="1">
        <f t="array" aca="1" ref="Q409" ca="1">spellNumber(P409)</f>
        <v>#NAME?</v>
      </c>
      <c r="R409" s="31">
        <f t="shared" si="41"/>
        <v>200</v>
      </c>
      <c r="S409" s="32">
        <v>10500</v>
      </c>
      <c r="T409" s="32">
        <v>4500</v>
      </c>
      <c r="U409" s="32">
        <v>4500</v>
      </c>
      <c r="V409" s="32">
        <v>0</v>
      </c>
      <c r="W409" s="32">
        <v>0</v>
      </c>
      <c r="X409" s="32">
        <v>0</v>
      </c>
      <c r="Y409" s="32">
        <v>0</v>
      </c>
      <c r="Z409" s="32">
        <v>0</v>
      </c>
      <c r="AA409" s="33">
        <v>0</v>
      </c>
      <c r="AB409" s="34">
        <v>0</v>
      </c>
      <c r="AC409" s="35">
        <v>0</v>
      </c>
      <c r="AD409" s="36"/>
    </row>
    <row r="410" spans="1:30" ht="16.5" customHeight="1" x14ac:dyDescent="0.25">
      <c r="A410" s="19" t="s">
        <v>1692</v>
      </c>
      <c r="B410" s="19" t="s">
        <v>707</v>
      </c>
      <c r="C410" s="19" t="s">
        <v>707</v>
      </c>
      <c r="D410" s="19" t="s">
        <v>707</v>
      </c>
      <c r="E410" s="20"/>
      <c r="F410" s="21">
        <v>0</v>
      </c>
      <c r="G410" s="22" t="s">
        <v>1693</v>
      </c>
      <c r="H410" s="23">
        <v>0</v>
      </c>
      <c r="I410" s="24">
        <v>0</v>
      </c>
      <c r="J410" s="23">
        <v>0</v>
      </c>
      <c r="K410" s="25">
        <f t="shared" si="36"/>
        <v>0</v>
      </c>
      <c r="L410" s="26" t="e">
        <f t="shared" si="37"/>
        <v>#DIV/0!</v>
      </c>
      <c r="M410" s="27">
        <v>0</v>
      </c>
      <c r="N410" s="28">
        <f t="shared" si="38"/>
        <v>0</v>
      </c>
      <c r="O410" s="29">
        <f t="shared" si="39"/>
        <v>0</v>
      </c>
      <c r="P410" s="29">
        <f t="shared" si="40"/>
        <v>0</v>
      </c>
      <c r="Q410" s="30" t="e" cm="1">
        <f t="array" aca="1" ref="Q410" ca="1">spellNumber(P410)</f>
        <v>#NAME?</v>
      </c>
      <c r="R410" s="31">
        <f t="shared" si="41"/>
        <v>200</v>
      </c>
      <c r="S410" s="32">
        <v>11000</v>
      </c>
      <c r="T410" s="32">
        <v>0</v>
      </c>
      <c r="U410" s="32">
        <v>5000</v>
      </c>
      <c r="V410" s="32">
        <v>0</v>
      </c>
      <c r="W410" s="32">
        <v>0</v>
      </c>
      <c r="X410" s="32">
        <v>0</v>
      </c>
      <c r="Y410" s="32">
        <v>0</v>
      </c>
      <c r="Z410" s="32">
        <v>0</v>
      </c>
      <c r="AA410" s="33">
        <v>0</v>
      </c>
      <c r="AB410" s="34">
        <v>0</v>
      </c>
      <c r="AC410" s="35">
        <v>0</v>
      </c>
      <c r="AD410" s="36"/>
    </row>
    <row r="411" spans="1:30" ht="16.5" customHeight="1" x14ac:dyDescent="0.25">
      <c r="A411" s="19" t="s">
        <v>1694</v>
      </c>
      <c r="B411" s="19" t="s">
        <v>341</v>
      </c>
      <c r="C411" s="19" t="s">
        <v>1695</v>
      </c>
      <c r="D411" s="19" t="s">
        <v>93</v>
      </c>
      <c r="E411" s="20" t="s">
        <v>34</v>
      </c>
      <c r="F411" s="21">
        <v>1</v>
      </c>
      <c r="G411" s="22" t="s">
        <v>1696</v>
      </c>
      <c r="H411" s="23">
        <v>2000</v>
      </c>
      <c r="I411" s="24">
        <v>2000</v>
      </c>
      <c r="J411" s="23">
        <v>0</v>
      </c>
      <c r="K411" s="25">
        <f t="shared" si="36"/>
        <v>2000</v>
      </c>
      <c r="L411" s="26">
        <f t="shared" si="37"/>
        <v>1</v>
      </c>
      <c r="M411" s="27">
        <v>0</v>
      </c>
      <c r="N411" s="28">
        <f t="shared" si="38"/>
        <v>2000</v>
      </c>
      <c r="O411" s="29">
        <f t="shared" si="39"/>
        <v>2000</v>
      </c>
      <c r="P411" s="29">
        <f t="shared" si="40"/>
        <v>2000</v>
      </c>
      <c r="Q411" s="30" t="e" cm="1">
        <f t="array" aca="1" ref="Q411" ca="1">spellNumber(P411)</f>
        <v>#NAME?</v>
      </c>
      <c r="R411" s="31">
        <f t="shared" si="41"/>
        <v>2200</v>
      </c>
      <c r="S411" s="32">
        <v>4500</v>
      </c>
      <c r="T411" s="32">
        <v>2000</v>
      </c>
      <c r="U411" s="32">
        <v>2000</v>
      </c>
      <c r="V411" s="32">
        <v>2000</v>
      </c>
      <c r="W411" s="32">
        <v>2000</v>
      </c>
      <c r="X411" s="32">
        <v>2000</v>
      </c>
      <c r="Y411" s="32">
        <v>2000</v>
      </c>
      <c r="Z411" s="32">
        <v>2000</v>
      </c>
      <c r="AA411" s="33">
        <v>2000</v>
      </c>
      <c r="AB411" s="34">
        <v>0</v>
      </c>
      <c r="AC411" s="35">
        <v>4000</v>
      </c>
      <c r="AD411" s="36"/>
    </row>
    <row r="412" spans="1:30" ht="16.5" customHeight="1" x14ac:dyDescent="0.25">
      <c r="A412" s="19" t="s">
        <v>1697</v>
      </c>
      <c r="B412" s="19" t="s">
        <v>1698</v>
      </c>
      <c r="C412" s="19" t="s">
        <v>1699</v>
      </c>
      <c r="D412" s="19" t="s">
        <v>1700</v>
      </c>
      <c r="E412" s="20" t="s">
        <v>34</v>
      </c>
      <c r="F412" s="21">
        <v>2</v>
      </c>
      <c r="G412" s="22" t="s">
        <v>1701</v>
      </c>
      <c r="H412" s="23">
        <v>3500</v>
      </c>
      <c r="I412" s="24">
        <v>14000</v>
      </c>
      <c r="J412" s="23">
        <v>0</v>
      </c>
      <c r="K412" s="25">
        <f t="shared" si="36"/>
        <v>14000</v>
      </c>
      <c r="L412" s="26">
        <f t="shared" si="37"/>
        <v>4</v>
      </c>
      <c r="M412" s="27">
        <v>0</v>
      </c>
      <c r="N412" s="28">
        <f t="shared" si="38"/>
        <v>14000</v>
      </c>
      <c r="O412" s="29">
        <f t="shared" si="39"/>
        <v>14000</v>
      </c>
      <c r="P412" s="29">
        <f t="shared" si="40"/>
        <v>14000</v>
      </c>
      <c r="Q412" s="30" t="e" cm="1">
        <f t="array" aca="1" ref="Q412" ca="1">spellNumber(P412)</f>
        <v>#NAME?</v>
      </c>
      <c r="R412" s="31">
        <f t="shared" si="41"/>
        <v>14200</v>
      </c>
      <c r="S412" s="32">
        <v>7000</v>
      </c>
      <c r="T412" s="32">
        <v>0</v>
      </c>
      <c r="U412" s="32">
        <v>0</v>
      </c>
      <c r="V412" s="32">
        <v>0</v>
      </c>
      <c r="W412" s="32">
        <v>0</v>
      </c>
      <c r="X412" s="32">
        <v>10500</v>
      </c>
      <c r="Y412" s="32">
        <v>10500</v>
      </c>
      <c r="Z412" s="32">
        <v>0</v>
      </c>
      <c r="AA412" s="33">
        <v>0</v>
      </c>
      <c r="AB412" s="34">
        <v>0</v>
      </c>
      <c r="AC412" s="35">
        <v>0</v>
      </c>
      <c r="AD412" s="36"/>
    </row>
    <row r="413" spans="1:30" ht="16.5" customHeight="1" x14ac:dyDescent="0.25">
      <c r="A413" s="19" t="s">
        <v>1702</v>
      </c>
      <c r="B413" s="19" t="s">
        <v>1703</v>
      </c>
      <c r="C413" s="19" t="s">
        <v>1704</v>
      </c>
      <c r="D413" s="19" t="s">
        <v>282</v>
      </c>
      <c r="E413" s="20" t="s">
        <v>40</v>
      </c>
      <c r="F413" s="21">
        <v>1</v>
      </c>
      <c r="G413" s="22" t="s">
        <v>1705</v>
      </c>
      <c r="H413" s="23">
        <v>3000</v>
      </c>
      <c r="I413" s="24">
        <v>3000</v>
      </c>
      <c r="J413" s="23">
        <v>3000</v>
      </c>
      <c r="K413" s="25">
        <f t="shared" si="36"/>
        <v>0</v>
      </c>
      <c r="L413" s="26">
        <f t="shared" si="37"/>
        <v>0</v>
      </c>
      <c r="M413" s="27">
        <v>0</v>
      </c>
      <c r="N413" s="28">
        <f t="shared" si="38"/>
        <v>3000</v>
      </c>
      <c r="O413" s="29">
        <f t="shared" si="39"/>
        <v>3000</v>
      </c>
      <c r="P413" s="29">
        <f t="shared" si="40"/>
        <v>3000</v>
      </c>
      <c r="Q413" s="30" t="e" cm="1">
        <f t="array" aca="1" ref="Q413" ca="1">spellNumber(P413)</f>
        <v>#NAME?</v>
      </c>
      <c r="R413" s="31">
        <f t="shared" si="41"/>
        <v>3200</v>
      </c>
      <c r="S413" s="32">
        <v>3000</v>
      </c>
      <c r="T413" s="32">
        <v>3000</v>
      </c>
      <c r="U413" s="32">
        <v>3000</v>
      </c>
      <c r="V413" s="32">
        <v>3000</v>
      </c>
      <c r="W413" s="32">
        <v>3000</v>
      </c>
      <c r="X413" s="32">
        <v>3000</v>
      </c>
      <c r="Y413" s="32">
        <v>3000</v>
      </c>
      <c r="Z413" s="32">
        <v>3000</v>
      </c>
      <c r="AA413" s="33">
        <v>3000</v>
      </c>
      <c r="AB413" s="34">
        <v>3000</v>
      </c>
      <c r="AC413" s="35">
        <v>0</v>
      </c>
      <c r="AD413" s="36"/>
    </row>
    <row r="414" spans="1:30" ht="16.5" customHeight="1" x14ac:dyDescent="0.25">
      <c r="A414" s="19" t="s">
        <v>1706</v>
      </c>
      <c r="B414" s="19" t="s">
        <v>1707</v>
      </c>
      <c r="C414" s="19" t="s">
        <v>116</v>
      </c>
      <c r="D414" s="19" t="s">
        <v>54</v>
      </c>
      <c r="E414" s="20" t="s">
        <v>34</v>
      </c>
      <c r="F414" s="21">
        <v>1</v>
      </c>
      <c r="G414" s="22" t="s">
        <v>1708</v>
      </c>
      <c r="H414" s="23">
        <v>2000</v>
      </c>
      <c r="I414" s="24">
        <v>6000</v>
      </c>
      <c r="J414" s="23">
        <v>0</v>
      </c>
      <c r="K414" s="25">
        <f t="shared" si="36"/>
        <v>6000</v>
      </c>
      <c r="L414" s="26">
        <f t="shared" si="37"/>
        <v>3</v>
      </c>
      <c r="M414" s="27">
        <v>0</v>
      </c>
      <c r="N414" s="28">
        <f t="shared" si="38"/>
        <v>6000</v>
      </c>
      <c r="O414" s="29">
        <f t="shared" si="39"/>
        <v>6000</v>
      </c>
      <c r="P414" s="29">
        <f t="shared" si="40"/>
        <v>6000</v>
      </c>
      <c r="Q414" s="30" t="e" cm="1">
        <f t="array" aca="1" ref="Q414" ca="1">spellNumber(P414)</f>
        <v>#NAME?</v>
      </c>
      <c r="R414" s="31">
        <f t="shared" si="41"/>
        <v>6200</v>
      </c>
      <c r="S414" s="32">
        <v>4000</v>
      </c>
      <c r="T414" s="32">
        <v>0</v>
      </c>
      <c r="U414" s="32">
        <v>0</v>
      </c>
      <c r="V414" s="32">
        <v>6000</v>
      </c>
      <c r="W414" s="32">
        <v>0</v>
      </c>
      <c r="X414" s="32">
        <v>0</v>
      </c>
      <c r="Y414" s="32">
        <v>0</v>
      </c>
      <c r="Z414" s="32">
        <v>0</v>
      </c>
      <c r="AA414" s="33">
        <v>5000</v>
      </c>
      <c r="AB414" s="34">
        <v>5000</v>
      </c>
      <c r="AC414" s="35">
        <v>0</v>
      </c>
      <c r="AD414" s="36"/>
    </row>
    <row r="415" spans="1:30" ht="16.5" customHeight="1" x14ac:dyDescent="0.25">
      <c r="A415" s="19" t="s">
        <v>1709</v>
      </c>
      <c r="B415" s="19" t="s">
        <v>1710</v>
      </c>
      <c r="C415" s="19" t="s">
        <v>1711</v>
      </c>
      <c r="D415" s="19" t="s">
        <v>1712</v>
      </c>
      <c r="E415" s="20" t="s">
        <v>34</v>
      </c>
      <c r="F415" s="21">
        <v>2</v>
      </c>
      <c r="G415" s="22" t="s">
        <v>1713</v>
      </c>
      <c r="H415" s="23">
        <v>4000</v>
      </c>
      <c r="I415" s="24">
        <v>4800</v>
      </c>
      <c r="J415" s="23">
        <v>4800</v>
      </c>
      <c r="K415" s="25">
        <f t="shared" si="36"/>
        <v>0</v>
      </c>
      <c r="L415" s="26">
        <f t="shared" si="37"/>
        <v>0</v>
      </c>
      <c r="M415" s="27">
        <v>0</v>
      </c>
      <c r="N415" s="28">
        <f t="shared" si="38"/>
        <v>4800</v>
      </c>
      <c r="O415" s="29">
        <f t="shared" si="39"/>
        <v>4800</v>
      </c>
      <c r="P415" s="29">
        <f t="shared" si="40"/>
        <v>4800</v>
      </c>
      <c r="Q415" s="30" t="e" cm="1">
        <f t="array" aca="1" ref="Q415" ca="1">spellNumber(P415)</f>
        <v>#NAME?</v>
      </c>
      <c r="R415" s="31">
        <f t="shared" si="41"/>
        <v>5000</v>
      </c>
      <c r="S415" s="32">
        <v>0</v>
      </c>
      <c r="T415" s="32">
        <v>6000</v>
      </c>
      <c r="U415" s="32">
        <v>6000</v>
      </c>
      <c r="V415" s="32">
        <v>0</v>
      </c>
      <c r="W415" s="32">
        <v>0</v>
      </c>
      <c r="X415" s="32">
        <v>12000</v>
      </c>
      <c r="Y415" s="32">
        <v>4000</v>
      </c>
      <c r="Z415" s="32">
        <v>4800</v>
      </c>
      <c r="AA415" s="33">
        <v>4800</v>
      </c>
      <c r="AB415" s="34">
        <v>4800</v>
      </c>
      <c r="AC415" s="35">
        <v>4800</v>
      </c>
      <c r="AD415" s="36"/>
    </row>
    <row r="416" spans="1:30" ht="16.5" customHeight="1" x14ac:dyDescent="0.25">
      <c r="A416" s="19" t="s">
        <v>1714</v>
      </c>
      <c r="B416" s="19" t="s">
        <v>1715</v>
      </c>
      <c r="C416" s="19" t="s">
        <v>1716</v>
      </c>
      <c r="D416" s="19" t="s">
        <v>1717</v>
      </c>
      <c r="E416" s="20" t="s">
        <v>40</v>
      </c>
      <c r="F416" s="21">
        <v>2</v>
      </c>
      <c r="G416" s="22" t="s">
        <v>1718</v>
      </c>
      <c r="H416" s="23">
        <v>4500</v>
      </c>
      <c r="I416" s="24">
        <v>4500</v>
      </c>
      <c r="J416" s="23">
        <v>0</v>
      </c>
      <c r="K416" s="25">
        <f t="shared" si="36"/>
        <v>4500</v>
      </c>
      <c r="L416" s="26">
        <f t="shared" si="37"/>
        <v>1</v>
      </c>
      <c r="M416" s="27">
        <v>0</v>
      </c>
      <c r="N416" s="28">
        <f t="shared" si="38"/>
        <v>4500</v>
      </c>
      <c r="O416" s="29">
        <f t="shared" si="39"/>
        <v>4500</v>
      </c>
      <c r="P416" s="29">
        <f t="shared" si="40"/>
        <v>4500</v>
      </c>
      <c r="Q416" s="30" t="e" cm="1">
        <f t="array" aca="1" ref="Q416" ca="1">spellNumber(P416)</f>
        <v>#NAME?</v>
      </c>
      <c r="R416" s="31">
        <f t="shared" si="41"/>
        <v>4700</v>
      </c>
      <c r="S416" s="32">
        <v>0</v>
      </c>
      <c r="T416" s="32">
        <v>8500</v>
      </c>
      <c r="U416" s="32">
        <v>0</v>
      </c>
      <c r="V416" s="32">
        <v>9000</v>
      </c>
      <c r="W416" s="32">
        <v>0</v>
      </c>
      <c r="X416" s="32">
        <v>9000</v>
      </c>
      <c r="Y416" s="32">
        <v>4500</v>
      </c>
      <c r="Z416" s="32">
        <v>4500</v>
      </c>
      <c r="AA416" s="33">
        <v>4500</v>
      </c>
      <c r="AB416" s="34">
        <v>4500</v>
      </c>
      <c r="AC416" s="35">
        <v>4500</v>
      </c>
      <c r="AD416" s="36"/>
    </row>
    <row r="417" spans="1:30" ht="16.5" customHeight="1" x14ac:dyDescent="0.25">
      <c r="A417" s="19" t="s">
        <v>1719</v>
      </c>
      <c r="B417" s="19" t="s">
        <v>1720</v>
      </c>
      <c r="C417" s="19" t="s">
        <v>1721</v>
      </c>
      <c r="D417" s="19" t="s">
        <v>83</v>
      </c>
      <c r="E417" s="20" t="s">
        <v>34</v>
      </c>
      <c r="F417" s="21">
        <v>1</v>
      </c>
      <c r="G417" s="22" t="s">
        <v>1722</v>
      </c>
      <c r="H417" s="23">
        <v>0</v>
      </c>
      <c r="I417" s="24">
        <v>0</v>
      </c>
      <c r="J417" s="23">
        <v>0</v>
      </c>
      <c r="K417" s="25">
        <f t="shared" si="36"/>
        <v>0</v>
      </c>
      <c r="L417" s="26" t="e">
        <f t="shared" si="37"/>
        <v>#DIV/0!</v>
      </c>
      <c r="M417" s="27">
        <v>0</v>
      </c>
      <c r="N417" s="28">
        <f t="shared" si="38"/>
        <v>0</v>
      </c>
      <c r="O417" s="29">
        <f t="shared" si="39"/>
        <v>0</v>
      </c>
      <c r="P417" s="29">
        <f t="shared" si="40"/>
        <v>0</v>
      </c>
      <c r="Q417" s="30" t="e" cm="1">
        <f t="array" aca="1" ref="Q417" ca="1">spellNumber(P417)</f>
        <v>#NAME?</v>
      </c>
      <c r="R417" s="31">
        <f t="shared" si="41"/>
        <v>200</v>
      </c>
      <c r="S417" s="32">
        <v>0</v>
      </c>
      <c r="T417" s="32">
        <v>0</v>
      </c>
      <c r="U417" s="32">
        <v>0</v>
      </c>
      <c r="V417" s="32">
        <v>0</v>
      </c>
      <c r="W417" s="32">
        <v>0</v>
      </c>
      <c r="X417" s="32">
        <v>0</v>
      </c>
      <c r="Y417" s="32">
        <v>0</v>
      </c>
      <c r="Z417" s="32">
        <v>0</v>
      </c>
      <c r="AA417" s="33">
        <v>0</v>
      </c>
      <c r="AB417" s="34">
        <v>0</v>
      </c>
      <c r="AC417" s="35">
        <v>0</v>
      </c>
      <c r="AD417" s="36"/>
    </row>
    <row r="418" spans="1:30" ht="16.5" customHeight="1" x14ac:dyDescent="0.25">
      <c r="A418" s="19" t="s">
        <v>1723</v>
      </c>
      <c r="B418" s="19" t="s">
        <v>1724</v>
      </c>
      <c r="C418" s="19" t="s">
        <v>1725</v>
      </c>
      <c r="D418" s="19" t="s">
        <v>216</v>
      </c>
      <c r="E418" s="20" t="s">
        <v>40</v>
      </c>
      <c r="F418" s="21">
        <v>1</v>
      </c>
      <c r="G418" s="22" t="s">
        <v>1726</v>
      </c>
      <c r="H418" s="23">
        <v>2500</v>
      </c>
      <c r="I418" s="24">
        <v>5000</v>
      </c>
      <c r="J418" s="23">
        <v>2500</v>
      </c>
      <c r="K418" s="25">
        <f t="shared" si="36"/>
        <v>2500</v>
      </c>
      <c r="L418" s="26">
        <f t="shared" si="37"/>
        <v>1</v>
      </c>
      <c r="M418" s="27">
        <v>0</v>
      </c>
      <c r="N418" s="28">
        <f t="shared" si="38"/>
        <v>5000</v>
      </c>
      <c r="O418" s="29">
        <f t="shared" si="39"/>
        <v>5000</v>
      </c>
      <c r="P418" s="29">
        <f t="shared" si="40"/>
        <v>5000</v>
      </c>
      <c r="Q418" s="30" t="e" cm="1">
        <f t="array" aca="1" ref="Q418" ca="1">spellNumber(P418)</f>
        <v>#NAME?</v>
      </c>
      <c r="R418" s="31">
        <f t="shared" si="41"/>
        <v>5200</v>
      </c>
      <c r="S418" s="32">
        <v>0</v>
      </c>
      <c r="T418" s="32">
        <v>0</v>
      </c>
      <c r="U418" s="32">
        <v>6500</v>
      </c>
      <c r="V418" s="32">
        <v>0</v>
      </c>
      <c r="W418" s="32">
        <v>0</v>
      </c>
      <c r="X418" s="32">
        <v>5000</v>
      </c>
      <c r="Y418" s="32">
        <v>5000</v>
      </c>
      <c r="Z418" s="32">
        <v>2500</v>
      </c>
      <c r="AA418" s="33">
        <v>2500</v>
      </c>
      <c r="AB418" s="34">
        <v>0</v>
      </c>
      <c r="AC418" s="35">
        <v>5000</v>
      </c>
      <c r="AD418" s="36"/>
    </row>
    <row r="419" spans="1:30" ht="16.5" customHeight="1" x14ac:dyDescent="0.25">
      <c r="A419" s="19" t="s">
        <v>1727</v>
      </c>
      <c r="B419" s="19" t="s">
        <v>1728</v>
      </c>
      <c r="C419" s="19" t="s">
        <v>1729</v>
      </c>
      <c r="D419" s="19" t="s">
        <v>216</v>
      </c>
      <c r="E419" s="20" t="s">
        <v>40</v>
      </c>
      <c r="F419" s="21">
        <v>1</v>
      </c>
      <c r="G419" s="22" t="s">
        <v>1730</v>
      </c>
      <c r="H419" s="23">
        <v>2500</v>
      </c>
      <c r="I419" s="24">
        <v>2500</v>
      </c>
      <c r="J419" s="23">
        <v>0</v>
      </c>
      <c r="K419" s="25">
        <f t="shared" si="36"/>
        <v>2500</v>
      </c>
      <c r="L419" s="26">
        <f t="shared" si="37"/>
        <v>1</v>
      </c>
      <c r="M419" s="27">
        <v>0</v>
      </c>
      <c r="N419" s="28">
        <f t="shared" si="38"/>
        <v>2500</v>
      </c>
      <c r="O419" s="29">
        <f t="shared" si="39"/>
        <v>2500</v>
      </c>
      <c r="P419" s="29">
        <f t="shared" si="40"/>
        <v>2500</v>
      </c>
      <c r="Q419" s="30" t="e" cm="1">
        <f t="array" aca="1" ref="Q419" ca="1">spellNumber(P419)</f>
        <v>#NAME?</v>
      </c>
      <c r="R419" s="31">
        <f t="shared" si="41"/>
        <v>2700</v>
      </c>
      <c r="S419" s="32">
        <v>0</v>
      </c>
      <c r="T419" s="32">
        <v>0</v>
      </c>
      <c r="U419" s="32">
        <v>6500</v>
      </c>
      <c r="V419" s="32">
        <v>0</v>
      </c>
      <c r="W419" s="32">
        <v>0</v>
      </c>
      <c r="X419" s="32">
        <v>5000</v>
      </c>
      <c r="Y419" s="32">
        <v>0</v>
      </c>
      <c r="Z419" s="32">
        <v>5000</v>
      </c>
      <c r="AA419" s="33">
        <v>7500</v>
      </c>
      <c r="AB419" s="34">
        <v>2500</v>
      </c>
      <c r="AC419" s="35">
        <v>2500</v>
      </c>
      <c r="AD419" s="36"/>
    </row>
    <row r="420" spans="1:30" ht="16.5" customHeight="1" x14ac:dyDescent="0.25">
      <c r="A420" s="19" t="s">
        <v>1731</v>
      </c>
      <c r="B420" s="19" t="s">
        <v>1732</v>
      </c>
      <c r="C420" s="19" t="s">
        <v>1733</v>
      </c>
      <c r="D420" s="19" t="s">
        <v>93</v>
      </c>
      <c r="E420" s="20" t="s">
        <v>40</v>
      </c>
      <c r="F420" s="21">
        <v>1</v>
      </c>
      <c r="G420" s="22" t="s">
        <v>1726</v>
      </c>
      <c r="H420" s="23">
        <v>2500</v>
      </c>
      <c r="I420" s="24">
        <v>4670</v>
      </c>
      <c r="J420" s="23">
        <v>3000</v>
      </c>
      <c r="K420" s="25">
        <f t="shared" si="36"/>
        <v>1670</v>
      </c>
      <c r="L420" s="26">
        <f t="shared" si="37"/>
        <v>0.66800000000000004</v>
      </c>
      <c r="M420" s="27">
        <v>0</v>
      </c>
      <c r="N420" s="28">
        <f t="shared" si="38"/>
        <v>4670</v>
      </c>
      <c r="O420" s="29">
        <f t="shared" si="39"/>
        <v>4670</v>
      </c>
      <c r="P420" s="29">
        <f t="shared" si="40"/>
        <v>4700</v>
      </c>
      <c r="Q420" s="30" t="e" cm="1">
        <f t="array" aca="1" ref="Q420" ca="1">spellNumber(P420)</f>
        <v>#NAME?</v>
      </c>
      <c r="R420" s="31">
        <f t="shared" si="41"/>
        <v>4900</v>
      </c>
      <c r="S420" s="32">
        <v>0</v>
      </c>
      <c r="T420" s="32">
        <v>0</v>
      </c>
      <c r="U420" s="32">
        <v>6500</v>
      </c>
      <c r="V420" s="32">
        <v>0</v>
      </c>
      <c r="W420" s="32">
        <v>0</v>
      </c>
      <c r="X420" s="32">
        <v>5000</v>
      </c>
      <c r="Y420" s="32">
        <v>5000</v>
      </c>
      <c r="Z420" s="32">
        <v>2500</v>
      </c>
      <c r="AA420" s="33">
        <v>3130</v>
      </c>
      <c r="AB420" s="34">
        <v>0</v>
      </c>
      <c r="AC420" s="35">
        <v>4700</v>
      </c>
      <c r="AD420" s="36"/>
    </row>
    <row r="421" spans="1:30" ht="16.5" customHeight="1" x14ac:dyDescent="0.25">
      <c r="A421" s="19" t="s">
        <v>1734</v>
      </c>
      <c r="B421" s="19" t="s">
        <v>707</v>
      </c>
      <c r="C421" s="19" t="s">
        <v>707</v>
      </c>
      <c r="D421" s="19" t="s">
        <v>707</v>
      </c>
      <c r="E421" s="20" t="s">
        <v>40</v>
      </c>
      <c r="F421" s="21">
        <v>1</v>
      </c>
      <c r="G421" s="22" t="s">
        <v>1735</v>
      </c>
      <c r="H421" s="23">
        <v>0</v>
      </c>
      <c r="I421" s="24">
        <v>2500</v>
      </c>
      <c r="J421" s="23">
        <v>0</v>
      </c>
      <c r="K421" s="25">
        <f t="shared" si="36"/>
        <v>2500</v>
      </c>
      <c r="L421" s="26" t="e">
        <f t="shared" si="37"/>
        <v>#DIV/0!</v>
      </c>
      <c r="M421" s="27">
        <v>0</v>
      </c>
      <c r="N421" s="28">
        <f t="shared" si="38"/>
        <v>2500</v>
      </c>
      <c r="O421" s="29">
        <f t="shared" si="39"/>
        <v>2500</v>
      </c>
      <c r="P421" s="29">
        <f t="shared" si="40"/>
        <v>2500</v>
      </c>
      <c r="Q421" s="30" t="e" cm="1">
        <f t="array" aca="1" ref="Q421" ca="1">spellNumber(P421)</f>
        <v>#NAME?</v>
      </c>
      <c r="R421" s="31">
        <f t="shared" si="41"/>
        <v>2700</v>
      </c>
      <c r="S421" s="32">
        <v>0</v>
      </c>
      <c r="T421" s="32">
        <v>2500</v>
      </c>
      <c r="U421" s="32">
        <v>2500</v>
      </c>
      <c r="V421" s="32">
        <v>0</v>
      </c>
      <c r="W421" s="32">
        <v>0</v>
      </c>
      <c r="X421" s="32">
        <v>5000</v>
      </c>
      <c r="Y421" s="32">
        <v>5000</v>
      </c>
      <c r="Z421" s="32">
        <v>0</v>
      </c>
      <c r="AA421" s="33">
        <v>0</v>
      </c>
      <c r="AB421" s="34">
        <v>0</v>
      </c>
      <c r="AC421" s="35">
        <v>0</v>
      </c>
      <c r="AD421" s="36"/>
    </row>
    <row r="422" spans="1:30" ht="16.5" customHeight="1" x14ac:dyDescent="0.25">
      <c r="A422" s="19" t="s">
        <v>1736</v>
      </c>
      <c r="B422" s="19" t="s">
        <v>1737</v>
      </c>
      <c r="C422" s="19" t="s">
        <v>1738</v>
      </c>
      <c r="D422" s="19" t="s">
        <v>434</v>
      </c>
      <c r="E422" s="20" t="s">
        <v>40</v>
      </c>
      <c r="F422" s="21">
        <v>1</v>
      </c>
      <c r="G422" s="51" t="s">
        <v>1211</v>
      </c>
      <c r="H422" s="23">
        <v>0</v>
      </c>
      <c r="I422" s="24">
        <v>0</v>
      </c>
      <c r="J422" s="23">
        <v>0</v>
      </c>
      <c r="K422" s="25">
        <f t="shared" si="36"/>
        <v>0</v>
      </c>
      <c r="L422" s="26" t="e">
        <f t="shared" si="37"/>
        <v>#DIV/0!</v>
      </c>
      <c r="M422" s="27">
        <v>0</v>
      </c>
      <c r="N422" s="28">
        <f t="shared" si="38"/>
        <v>0</v>
      </c>
      <c r="O422" s="29">
        <f t="shared" si="39"/>
        <v>0</v>
      </c>
      <c r="P422" s="29">
        <f t="shared" si="40"/>
        <v>0</v>
      </c>
      <c r="Q422" s="30" t="e" cm="1">
        <f t="array" aca="1" ref="Q422" ca="1">spellNumber(P422)</f>
        <v>#NAME?</v>
      </c>
      <c r="R422" s="31">
        <f t="shared" si="41"/>
        <v>200</v>
      </c>
      <c r="S422" s="32">
        <v>0</v>
      </c>
      <c r="T422" s="32">
        <v>0</v>
      </c>
      <c r="U422" s="32">
        <v>0</v>
      </c>
      <c r="V422" s="32">
        <v>0</v>
      </c>
      <c r="W422" s="32">
        <v>5000</v>
      </c>
      <c r="X422" s="32">
        <v>0</v>
      </c>
      <c r="Y422" s="32">
        <v>0</v>
      </c>
      <c r="Z422" s="32">
        <v>0</v>
      </c>
      <c r="AA422" s="33">
        <v>0</v>
      </c>
      <c r="AB422" s="34">
        <v>0</v>
      </c>
      <c r="AC422" s="35">
        <v>0</v>
      </c>
      <c r="AD422" s="36"/>
    </row>
    <row r="423" spans="1:30" ht="16.5" customHeight="1" x14ac:dyDescent="0.25">
      <c r="A423" s="19" t="s">
        <v>1739</v>
      </c>
      <c r="B423" s="19" t="s">
        <v>1740</v>
      </c>
      <c r="C423" s="19" t="s">
        <v>1741</v>
      </c>
      <c r="D423" s="19" t="s">
        <v>697</v>
      </c>
      <c r="E423" s="20"/>
      <c r="F423" s="21">
        <v>1</v>
      </c>
      <c r="G423" s="22" t="s">
        <v>1742</v>
      </c>
      <c r="H423" s="23">
        <v>1500</v>
      </c>
      <c r="I423" s="24">
        <v>3100</v>
      </c>
      <c r="J423" s="23">
        <v>1500</v>
      </c>
      <c r="K423" s="25">
        <f t="shared" si="36"/>
        <v>1600</v>
      </c>
      <c r="L423" s="26">
        <f t="shared" si="37"/>
        <v>1.0666666666666667</v>
      </c>
      <c r="M423" s="27">
        <v>0</v>
      </c>
      <c r="N423" s="28">
        <f t="shared" si="38"/>
        <v>3100</v>
      </c>
      <c r="O423" s="29">
        <f t="shared" si="39"/>
        <v>3100</v>
      </c>
      <c r="P423" s="29">
        <f t="shared" si="40"/>
        <v>3100</v>
      </c>
      <c r="Q423" s="30" t="e" cm="1">
        <f t="array" aca="1" ref="Q423" ca="1">spellNumber(P423)</f>
        <v>#NAME?</v>
      </c>
      <c r="R423" s="31">
        <f t="shared" si="41"/>
        <v>3300</v>
      </c>
      <c r="S423" s="32">
        <v>1500</v>
      </c>
      <c r="T423" s="32">
        <v>1500</v>
      </c>
      <c r="U423" s="32">
        <v>1500</v>
      </c>
      <c r="V423" s="32">
        <v>1500</v>
      </c>
      <c r="W423" s="32">
        <v>0</v>
      </c>
      <c r="X423" s="32">
        <v>3000</v>
      </c>
      <c r="Y423" s="32">
        <v>1500</v>
      </c>
      <c r="Z423" s="32">
        <v>1900</v>
      </c>
      <c r="AA423" s="33">
        <v>1500</v>
      </c>
      <c r="AB423" s="34">
        <v>1500</v>
      </c>
      <c r="AC423" s="35">
        <v>1500</v>
      </c>
      <c r="AD423" s="36"/>
    </row>
    <row r="424" spans="1:30" ht="16.5" customHeight="1" x14ac:dyDescent="0.25">
      <c r="A424" s="19" t="s">
        <v>1743</v>
      </c>
      <c r="B424" s="19" t="s">
        <v>1744</v>
      </c>
      <c r="C424" s="19" t="s">
        <v>1035</v>
      </c>
      <c r="D424" s="19" t="s">
        <v>1476</v>
      </c>
      <c r="E424" s="20"/>
      <c r="F424" s="21">
        <v>2</v>
      </c>
      <c r="G424" s="22" t="s">
        <v>1745</v>
      </c>
      <c r="H424" s="23">
        <v>4000</v>
      </c>
      <c r="I424" s="24">
        <v>13500</v>
      </c>
      <c r="J424" s="23">
        <v>0</v>
      </c>
      <c r="K424" s="25">
        <f t="shared" si="36"/>
        <v>13500</v>
      </c>
      <c r="L424" s="26">
        <f t="shared" si="37"/>
        <v>3.375</v>
      </c>
      <c r="M424" s="27">
        <v>0</v>
      </c>
      <c r="N424" s="28">
        <f t="shared" si="38"/>
        <v>13500</v>
      </c>
      <c r="O424" s="29">
        <f t="shared" si="39"/>
        <v>13500</v>
      </c>
      <c r="P424" s="29">
        <f t="shared" si="40"/>
        <v>13500</v>
      </c>
      <c r="Q424" s="30" t="e" cm="1">
        <f t="array" aca="1" ref="Q424" ca="1">spellNumber(P424)</f>
        <v>#NAME?</v>
      </c>
      <c r="R424" s="31">
        <f t="shared" si="41"/>
        <v>13700</v>
      </c>
      <c r="S424" s="32">
        <v>4500</v>
      </c>
      <c r="T424" s="32">
        <v>3500</v>
      </c>
      <c r="U424" s="32">
        <v>0</v>
      </c>
      <c r="V424" s="32">
        <v>0</v>
      </c>
      <c r="W424" s="32">
        <v>0</v>
      </c>
      <c r="X424" s="32">
        <v>0</v>
      </c>
      <c r="Y424" s="32">
        <v>20000</v>
      </c>
      <c r="Z424" s="32">
        <v>0</v>
      </c>
      <c r="AA424" s="33">
        <v>0</v>
      </c>
      <c r="AB424" s="34">
        <v>0</v>
      </c>
      <c r="AC424" s="35">
        <v>6500</v>
      </c>
      <c r="AD424" s="36"/>
    </row>
    <row r="425" spans="1:30" ht="16.5" customHeight="1" x14ac:dyDescent="0.25">
      <c r="A425" s="19" t="s">
        <v>1746</v>
      </c>
      <c r="B425" s="19" t="s">
        <v>1747</v>
      </c>
      <c r="C425" s="19" t="s">
        <v>1748</v>
      </c>
      <c r="D425" s="19" t="s">
        <v>1447</v>
      </c>
      <c r="E425" s="20"/>
      <c r="F425" s="21">
        <v>1</v>
      </c>
      <c r="G425" s="22" t="s">
        <v>1279</v>
      </c>
      <c r="H425" s="23">
        <v>2000</v>
      </c>
      <c r="I425" s="24">
        <v>4000</v>
      </c>
      <c r="J425" s="23">
        <v>4000</v>
      </c>
      <c r="K425" s="25">
        <f t="shared" si="36"/>
        <v>0</v>
      </c>
      <c r="L425" s="26">
        <f t="shared" si="37"/>
        <v>0</v>
      </c>
      <c r="M425" s="27">
        <v>0</v>
      </c>
      <c r="N425" s="28">
        <f t="shared" si="38"/>
        <v>4000</v>
      </c>
      <c r="O425" s="29">
        <f t="shared" si="39"/>
        <v>4000</v>
      </c>
      <c r="P425" s="29">
        <f t="shared" si="40"/>
        <v>4000</v>
      </c>
      <c r="Q425" s="30" t="e" cm="1">
        <f t="array" aca="1" ref="Q425" ca="1">spellNumber(P425)</f>
        <v>#NAME?</v>
      </c>
      <c r="R425" s="31">
        <f t="shared" si="41"/>
        <v>4200</v>
      </c>
      <c r="S425" s="32">
        <v>0</v>
      </c>
      <c r="T425" s="32">
        <v>4000</v>
      </c>
      <c r="U425" s="32">
        <v>2000</v>
      </c>
      <c r="V425" s="32">
        <v>2000</v>
      </c>
      <c r="W425" s="32">
        <v>2000</v>
      </c>
      <c r="X425" s="32">
        <v>2000</v>
      </c>
      <c r="Y425" s="32">
        <v>2000</v>
      </c>
      <c r="Z425" s="32">
        <v>2000</v>
      </c>
      <c r="AA425" s="33">
        <v>0</v>
      </c>
      <c r="AB425" s="34">
        <v>0</v>
      </c>
      <c r="AC425" s="35">
        <v>4000</v>
      </c>
      <c r="AD425" s="36"/>
    </row>
    <row r="426" spans="1:30" ht="16.5" customHeight="1" x14ac:dyDescent="0.25">
      <c r="A426" s="19" t="s">
        <v>1749</v>
      </c>
      <c r="B426" s="19" t="s">
        <v>1750</v>
      </c>
      <c r="C426" s="19" t="s">
        <v>1751</v>
      </c>
      <c r="D426" s="19" t="s">
        <v>697</v>
      </c>
      <c r="E426" s="20"/>
      <c r="F426" s="21">
        <v>1</v>
      </c>
      <c r="G426" s="22" t="s">
        <v>1752</v>
      </c>
      <c r="H426" s="23">
        <v>1800</v>
      </c>
      <c r="I426" s="24">
        <v>1800</v>
      </c>
      <c r="J426" s="23">
        <v>1800</v>
      </c>
      <c r="K426" s="37">
        <f t="shared" si="36"/>
        <v>0</v>
      </c>
      <c r="L426" s="38">
        <f t="shared" si="37"/>
        <v>0</v>
      </c>
      <c r="M426" s="27">
        <v>0</v>
      </c>
      <c r="N426" s="28">
        <f t="shared" si="38"/>
        <v>1800</v>
      </c>
      <c r="O426" s="29">
        <f t="shared" si="39"/>
        <v>1800</v>
      </c>
      <c r="P426" s="29">
        <f t="shared" si="40"/>
        <v>1800</v>
      </c>
      <c r="Q426" s="30" t="e" cm="1">
        <f t="array" aca="1" ref="Q426" ca="1">spellNumber(P426)</f>
        <v>#NAME?</v>
      </c>
      <c r="R426" s="31">
        <f t="shared" si="41"/>
        <v>2000</v>
      </c>
      <c r="S426" s="32">
        <v>0</v>
      </c>
      <c r="T426" s="32">
        <v>5600</v>
      </c>
      <c r="U426" s="32">
        <v>0</v>
      </c>
      <c r="V426" s="32">
        <v>0</v>
      </c>
      <c r="W426" s="32">
        <v>0</v>
      </c>
      <c r="X426" s="32">
        <v>7200</v>
      </c>
      <c r="Y426" s="32">
        <v>0</v>
      </c>
      <c r="Z426" s="32">
        <v>2160</v>
      </c>
      <c r="AA426" s="33">
        <v>0</v>
      </c>
      <c r="AB426" s="34">
        <v>2900</v>
      </c>
      <c r="AC426" s="35">
        <v>3940</v>
      </c>
      <c r="AD426" s="36"/>
    </row>
    <row r="427" spans="1:30" ht="16.5" customHeight="1" x14ac:dyDescent="0.25">
      <c r="A427" s="19" t="s">
        <v>1753</v>
      </c>
      <c r="B427" s="19" t="s">
        <v>1754</v>
      </c>
      <c r="C427" s="19" t="s">
        <v>1711</v>
      </c>
      <c r="D427" s="19" t="s">
        <v>83</v>
      </c>
      <c r="E427" s="20" t="s">
        <v>34</v>
      </c>
      <c r="F427" s="21">
        <v>1</v>
      </c>
      <c r="G427" s="22" t="s">
        <v>1755</v>
      </c>
      <c r="H427" s="23">
        <v>2500</v>
      </c>
      <c r="I427" s="24">
        <v>2500</v>
      </c>
      <c r="J427" s="23">
        <v>2500</v>
      </c>
      <c r="K427" s="25">
        <f t="shared" si="36"/>
        <v>0</v>
      </c>
      <c r="L427" s="39">
        <f t="shared" si="37"/>
        <v>0</v>
      </c>
      <c r="M427" s="27">
        <v>0</v>
      </c>
      <c r="N427" s="28">
        <f t="shared" si="38"/>
        <v>2500</v>
      </c>
      <c r="O427" s="29">
        <f t="shared" si="39"/>
        <v>2500</v>
      </c>
      <c r="P427" s="29">
        <f t="shared" si="40"/>
        <v>2500</v>
      </c>
      <c r="Q427" s="30" t="e" cm="1">
        <f t="array" aca="1" ref="Q427" ca="1">spellNumber(P427)</f>
        <v>#NAME?</v>
      </c>
      <c r="R427" s="31">
        <f t="shared" si="41"/>
        <v>2700</v>
      </c>
      <c r="S427" s="32">
        <v>0</v>
      </c>
      <c r="T427" s="32">
        <v>3500</v>
      </c>
      <c r="U427" s="32">
        <v>3500</v>
      </c>
      <c r="V427" s="32">
        <v>3500</v>
      </c>
      <c r="W427" s="32">
        <v>2500</v>
      </c>
      <c r="X427" s="32">
        <v>2500</v>
      </c>
      <c r="Y427" s="32">
        <v>2500</v>
      </c>
      <c r="Z427" s="32">
        <v>2500</v>
      </c>
      <c r="AA427" s="33">
        <v>2500</v>
      </c>
      <c r="AB427" s="34">
        <v>2500</v>
      </c>
      <c r="AC427" s="35">
        <v>2500</v>
      </c>
      <c r="AD427" s="36"/>
    </row>
    <row r="428" spans="1:30" ht="16.5" customHeight="1" x14ac:dyDescent="0.25">
      <c r="A428" s="19" t="s">
        <v>1756</v>
      </c>
      <c r="B428" s="19" t="s">
        <v>1757</v>
      </c>
      <c r="C428" s="19" t="s">
        <v>1758</v>
      </c>
      <c r="D428" s="19" t="s">
        <v>434</v>
      </c>
      <c r="E428" s="20" t="s">
        <v>40</v>
      </c>
      <c r="F428" s="21">
        <v>1</v>
      </c>
      <c r="G428" s="47" t="s">
        <v>1759</v>
      </c>
      <c r="H428" s="23">
        <v>6000</v>
      </c>
      <c r="I428" s="24">
        <v>6000</v>
      </c>
      <c r="J428" s="23">
        <v>2500</v>
      </c>
      <c r="K428" s="40">
        <f t="shared" si="36"/>
        <v>3500</v>
      </c>
      <c r="L428" s="41">
        <f t="shared" si="37"/>
        <v>0.58333333333333337</v>
      </c>
      <c r="M428" s="27">
        <v>0</v>
      </c>
      <c r="N428" s="28">
        <f t="shared" si="38"/>
        <v>6000</v>
      </c>
      <c r="O428" s="29">
        <f t="shared" si="39"/>
        <v>6000</v>
      </c>
      <c r="P428" s="29">
        <f t="shared" si="40"/>
        <v>6000</v>
      </c>
      <c r="Q428" s="30" t="e" cm="1">
        <f t="array" aca="1" ref="Q428" ca="1">spellNumber(P428)</f>
        <v>#NAME?</v>
      </c>
      <c r="R428" s="31">
        <f t="shared" si="41"/>
        <v>6200</v>
      </c>
      <c r="S428" s="32">
        <v>0</v>
      </c>
      <c r="T428" s="32">
        <v>0</v>
      </c>
      <c r="U428" s="32">
        <v>0</v>
      </c>
      <c r="V428" s="32">
        <v>10000</v>
      </c>
      <c r="W428" s="32">
        <v>2500</v>
      </c>
      <c r="X428" s="32">
        <v>2500</v>
      </c>
      <c r="Y428" s="32">
        <v>2500</v>
      </c>
      <c r="Z428" s="32">
        <v>2500</v>
      </c>
      <c r="AA428" s="33">
        <v>2500</v>
      </c>
      <c r="AB428" s="34">
        <v>2500</v>
      </c>
      <c r="AC428" s="35">
        <v>2500</v>
      </c>
      <c r="AD428" s="36"/>
    </row>
    <row r="429" spans="1:30" ht="16.5" customHeight="1" x14ac:dyDescent="0.25">
      <c r="A429" s="19" t="s">
        <v>1760</v>
      </c>
      <c r="B429" s="19" t="s">
        <v>1761</v>
      </c>
      <c r="C429" s="19" t="s">
        <v>512</v>
      </c>
      <c r="D429" s="19" t="s">
        <v>1762</v>
      </c>
      <c r="E429" s="20"/>
      <c r="F429" s="21">
        <v>2</v>
      </c>
      <c r="G429" s="47" t="s">
        <v>1763</v>
      </c>
      <c r="H429" s="23">
        <v>3600</v>
      </c>
      <c r="I429" s="24">
        <v>9150</v>
      </c>
      <c r="J429" s="23">
        <v>0</v>
      </c>
      <c r="K429" s="37">
        <f t="shared" si="36"/>
        <v>9150</v>
      </c>
      <c r="L429" s="38">
        <f t="shared" si="37"/>
        <v>2.5416666666666665</v>
      </c>
      <c r="M429" s="27">
        <v>0</v>
      </c>
      <c r="N429" s="28">
        <f t="shared" si="38"/>
        <v>9150</v>
      </c>
      <c r="O429" s="29">
        <f t="shared" si="39"/>
        <v>9150</v>
      </c>
      <c r="P429" s="29">
        <f t="shared" si="40"/>
        <v>9200</v>
      </c>
      <c r="Q429" s="30" t="e" cm="1">
        <f t="array" aca="1" ref="Q429" ca="1">spellNumber(P429)</f>
        <v>#NAME?</v>
      </c>
      <c r="R429" s="31">
        <f t="shared" si="41"/>
        <v>9400</v>
      </c>
      <c r="S429" s="32">
        <v>0</v>
      </c>
      <c r="T429" s="32">
        <v>7000</v>
      </c>
      <c r="U429" s="32">
        <v>3600</v>
      </c>
      <c r="V429" s="32">
        <v>0</v>
      </c>
      <c r="W429" s="32">
        <v>0</v>
      </c>
      <c r="X429" s="32">
        <v>0</v>
      </c>
      <c r="Y429" s="32">
        <v>0</v>
      </c>
      <c r="Z429" s="32">
        <v>0</v>
      </c>
      <c r="AA429" s="33">
        <v>9150</v>
      </c>
      <c r="AB429" s="34">
        <v>9200</v>
      </c>
      <c r="AC429" s="35">
        <v>9100</v>
      </c>
      <c r="AD429" s="36"/>
    </row>
    <row r="430" spans="1:30" ht="16.5" customHeight="1" x14ac:dyDescent="0.25">
      <c r="A430" s="19" t="s">
        <v>1764</v>
      </c>
      <c r="B430" s="19" t="s">
        <v>1765</v>
      </c>
      <c r="C430" s="19" t="s">
        <v>1766</v>
      </c>
      <c r="D430" s="19" t="s">
        <v>83</v>
      </c>
      <c r="E430" s="20" t="s">
        <v>40</v>
      </c>
      <c r="F430" s="21">
        <v>1</v>
      </c>
      <c r="G430" s="22" t="s">
        <v>1767</v>
      </c>
      <c r="H430" s="23">
        <v>3000</v>
      </c>
      <c r="I430" s="24">
        <v>3000</v>
      </c>
      <c r="J430" s="23">
        <v>3000</v>
      </c>
      <c r="K430" s="25">
        <f t="shared" si="36"/>
        <v>0</v>
      </c>
      <c r="L430" s="39">
        <f t="shared" si="37"/>
        <v>0</v>
      </c>
      <c r="M430" s="27">
        <v>0</v>
      </c>
      <c r="N430" s="28">
        <f t="shared" si="38"/>
        <v>3000</v>
      </c>
      <c r="O430" s="29">
        <f t="shared" si="39"/>
        <v>3000</v>
      </c>
      <c r="P430" s="29">
        <f t="shared" si="40"/>
        <v>3000</v>
      </c>
      <c r="Q430" s="30" t="e" cm="1">
        <f t="array" aca="1" ref="Q430" ca="1">spellNumber(P430)</f>
        <v>#NAME?</v>
      </c>
      <c r="R430" s="31">
        <f t="shared" si="41"/>
        <v>3200</v>
      </c>
      <c r="S430" s="32">
        <v>0</v>
      </c>
      <c r="T430" s="32">
        <v>6000</v>
      </c>
      <c r="U430" s="32">
        <v>3000</v>
      </c>
      <c r="V430" s="32">
        <v>3000</v>
      </c>
      <c r="W430" s="32">
        <v>3000</v>
      </c>
      <c r="X430" s="32">
        <v>3000</v>
      </c>
      <c r="Y430" s="32">
        <v>3000</v>
      </c>
      <c r="Z430" s="32">
        <v>3000</v>
      </c>
      <c r="AA430" s="33">
        <v>3000</v>
      </c>
      <c r="AB430" s="34">
        <v>3000</v>
      </c>
      <c r="AC430" s="35">
        <v>3000</v>
      </c>
      <c r="AD430" s="36"/>
    </row>
    <row r="431" spans="1:30" ht="16.5" customHeight="1" x14ac:dyDescent="0.25">
      <c r="A431" s="19" t="s">
        <v>1768</v>
      </c>
      <c r="B431" s="19" t="s">
        <v>1769</v>
      </c>
      <c r="C431" s="19" t="s">
        <v>1770</v>
      </c>
      <c r="D431" s="19" t="s">
        <v>1771</v>
      </c>
      <c r="E431" s="20"/>
      <c r="F431" s="21">
        <v>2</v>
      </c>
      <c r="G431" s="22" t="s">
        <v>1772</v>
      </c>
      <c r="H431" s="23">
        <v>2600</v>
      </c>
      <c r="I431" s="24">
        <v>2600</v>
      </c>
      <c r="J431" s="23">
        <v>2600</v>
      </c>
      <c r="K431" s="40">
        <f t="shared" si="36"/>
        <v>0</v>
      </c>
      <c r="L431" s="41">
        <f t="shared" si="37"/>
        <v>0</v>
      </c>
      <c r="M431" s="27">
        <v>0</v>
      </c>
      <c r="N431" s="28">
        <f t="shared" si="38"/>
        <v>2600</v>
      </c>
      <c r="O431" s="29">
        <f t="shared" si="39"/>
        <v>2600</v>
      </c>
      <c r="P431" s="29">
        <f t="shared" si="40"/>
        <v>2600</v>
      </c>
      <c r="Q431" s="30" t="e" cm="1">
        <f t="array" aca="1" ref="Q431" ca="1">spellNumber(P431)</f>
        <v>#NAME?</v>
      </c>
      <c r="R431" s="31">
        <f t="shared" si="41"/>
        <v>2800</v>
      </c>
      <c r="S431" s="32">
        <v>0</v>
      </c>
      <c r="T431" s="32">
        <v>2600</v>
      </c>
      <c r="U431" s="32">
        <v>2600</v>
      </c>
      <c r="V431" s="32">
        <v>0</v>
      </c>
      <c r="W431" s="32">
        <v>0</v>
      </c>
      <c r="X431" s="32">
        <v>2500</v>
      </c>
      <c r="Y431" s="32">
        <v>2500</v>
      </c>
      <c r="Z431" s="32">
        <v>3680</v>
      </c>
      <c r="AA431" s="33">
        <v>7000</v>
      </c>
      <c r="AB431" s="34">
        <v>2600</v>
      </c>
      <c r="AC431" s="35">
        <v>2520</v>
      </c>
      <c r="AD431" s="36"/>
    </row>
    <row r="432" spans="1:30" ht="16.5" customHeight="1" x14ac:dyDescent="0.25">
      <c r="A432" s="19" t="s">
        <v>1773</v>
      </c>
      <c r="B432" s="19" t="s">
        <v>1774</v>
      </c>
      <c r="C432" s="19" t="s">
        <v>1775</v>
      </c>
      <c r="D432" s="19" t="s">
        <v>83</v>
      </c>
      <c r="E432" s="20" t="s">
        <v>40</v>
      </c>
      <c r="F432" s="21">
        <v>1</v>
      </c>
      <c r="G432" s="22" t="s">
        <v>1776</v>
      </c>
      <c r="H432" s="23">
        <v>0</v>
      </c>
      <c r="I432" s="24">
        <v>0</v>
      </c>
      <c r="J432" s="23">
        <v>0</v>
      </c>
      <c r="K432" s="37">
        <f t="shared" si="36"/>
        <v>0</v>
      </c>
      <c r="L432" s="38" t="e">
        <f t="shared" si="37"/>
        <v>#DIV/0!</v>
      </c>
      <c r="M432" s="27">
        <v>0</v>
      </c>
      <c r="N432" s="28">
        <f t="shared" si="38"/>
        <v>0</v>
      </c>
      <c r="O432" s="29">
        <f t="shared" si="39"/>
        <v>0</v>
      </c>
      <c r="P432" s="29">
        <f t="shared" si="40"/>
        <v>0</v>
      </c>
      <c r="Q432" s="30" t="e" cm="1">
        <f t="array" aca="1" ref="Q432" ca="1">spellNumber(P432)</f>
        <v>#NAME?</v>
      </c>
      <c r="R432" s="31">
        <f t="shared" si="41"/>
        <v>200</v>
      </c>
      <c r="S432" s="32">
        <v>0</v>
      </c>
      <c r="T432" s="32">
        <v>3000</v>
      </c>
      <c r="U432" s="32">
        <v>2500</v>
      </c>
      <c r="V432" s="32">
        <v>2500</v>
      </c>
      <c r="W432" s="32">
        <v>0</v>
      </c>
      <c r="X432" s="32">
        <v>0</v>
      </c>
      <c r="Y432" s="32">
        <v>0</v>
      </c>
      <c r="Z432" s="32">
        <v>0</v>
      </c>
      <c r="AA432" s="33">
        <v>0</v>
      </c>
      <c r="AB432" s="34">
        <v>0</v>
      </c>
      <c r="AC432" s="35">
        <v>0</v>
      </c>
      <c r="AD432" s="36"/>
    </row>
    <row r="433" spans="1:30" ht="16.5" customHeight="1" x14ac:dyDescent="0.25">
      <c r="A433" s="19" t="s">
        <v>1777</v>
      </c>
      <c r="B433" s="19" t="s">
        <v>1778</v>
      </c>
      <c r="C433" s="19" t="s">
        <v>1779</v>
      </c>
      <c r="D433" s="19" t="s">
        <v>83</v>
      </c>
      <c r="E433" s="20" t="s">
        <v>34</v>
      </c>
      <c r="F433" s="21">
        <v>1</v>
      </c>
      <c r="G433" s="22" t="s">
        <v>1780</v>
      </c>
      <c r="H433" s="23">
        <v>3000</v>
      </c>
      <c r="I433" s="24">
        <v>5200</v>
      </c>
      <c r="J433" s="23">
        <v>3200</v>
      </c>
      <c r="K433" s="25">
        <f t="shared" si="36"/>
        <v>2000</v>
      </c>
      <c r="L433" s="39">
        <f t="shared" si="37"/>
        <v>0.66666666666666663</v>
      </c>
      <c r="M433" s="27">
        <v>0</v>
      </c>
      <c r="N433" s="28">
        <f t="shared" si="38"/>
        <v>5200</v>
      </c>
      <c r="O433" s="29">
        <f t="shared" si="39"/>
        <v>5200</v>
      </c>
      <c r="P433" s="29">
        <f t="shared" si="40"/>
        <v>5200</v>
      </c>
      <c r="Q433" s="30" t="e" cm="1">
        <f t="array" aca="1" ref="Q433" ca="1">spellNumber(P433)</f>
        <v>#NAME?</v>
      </c>
      <c r="R433" s="31">
        <f t="shared" si="41"/>
        <v>5400</v>
      </c>
      <c r="S433" s="32">
        <v>0</v>
      </c>
      <c r="T433" s="32">
        <v>6000</v>
      </c>
      <c r="U433" s="32">
        <v>0</v>
      </c>
      <c r="V433" s="32">
        <v>3000</v>
      </c>
      <c r="W433" s="32">
        <v>0</v>
      </c>
      <c r="X433" s="32">
        <v>6000</v>
      </c>
      <c r="Y433" s="32">
        <v>0</v>
      </c>
      <c r="Z433" s="32">
        <v>3600</v>
      </c>
      <c r="AA433" s="33">
        <v>3000</v>
      </c>
      <c r="AB433" s="34">
        <v>3000</v>
      </c>
      <c r="AC433" s="35">
        <v>3200</v>
      </c>
      <c r="AD433" s="36"/>
    </row>
    <row r="434" spans="1:30" ht="16.5" customHeight="1" x14ac:dyDescent="0.25">
      <c r="A434" s="19" t="s">
        <v>1781</v>
      </c>
      <c r="B434" s="19" t="s">
        <v>1782</v>
      </c>
      <c r="C434" s="19" t="s">
        <v>1783</v>
      </c>
      <c r="D434" s="19" t="s">
        <v>1784</v>
      </c>
      <c r="E434" s="20" t="s">
        <v>40</v>
      </c>
      <c r="F434" s="21">
        <v>3</v>
      </c>
      <c r="G434" s="54"/>
      <c r="H434" s="23">
        <v>7000</v>
      </c>
      <c r="I434" s="24">
        <v>9000</v>
      </c>
      <c r="J434" s="23">
        <v>7000</v>
      </c>
      <c r="K434" s="40">
        <f t="shared" si="36"/>
        <v>2000</v>
      </c>
      <c r="L434" s="41">
        <f t="shared" si="37"/>
        <v>0.2857142857142857</v>
      </c>
      <c r="M434" s="27">
        <v>0</v>
      </c>
      <c r="N434" s="28">
        <f t="shared" si="38"/>
        <v>9000</v>
      </c>
      <c r="O434" s="29">
        <f t="shared" si="39"/>
        <v>9000</v>
      </c>
      <c r="P434" s="29">
        <f t="shared" si="40"/>
        <v>9000</v>
      </c>
      <c r="Q434" s="30" t="e" cm="1">
        <f t="array" aca="1" ref="Q434" ca="1">spellNumber(P434)</f>
        <v>#NAME?</v>
      </c>
      <c r="R434" s="31">
        <f t="shared" si="41"/>
        <v>9200</v>
      </c>
      <c r="S434" s="32">
        <v>0</v>
      </c>
      <c r="T434" s="32">
        <v>0</v>
      </c>
      <c r="U434" s="32">
        <v>0</v>
      </c>
      <c r="V434" s="32">
        <v>0</v>
      </c>
      <c r="W434" s="32">
        <v>9000</v>
      </c>
      <c r="X434" s="32">
        <v>10000</v>
      </c>
      <c r="Y434" s="32">
        <v>7000</v>
      </c>
      <c r="Z434" s="32">
        <v>0</v>
      </c>
      <c r="AA434" s="33">
        <v>14000</v>
      </c>
      <c r="AB434" s="34">
        <v>7000</v>
      </c>
      <c r="AC434" s="35">
        <v>7000</v>
      </c>
      <c r="AD434" s="36"/>
    </row>
    <row r="435" spans="1:30" ht="16.5" customHeight="1" x14ac:dyDescent="0.25">
      <c r="A435" s="19" t="s">
        <v>1785</v>
      </c>
      <c r="B435" s="19" t="s">
        <v>1786</v>
      </c>
      <c r="C435" s="19" t="s">
        <v>1787</v>
      </c>
      <c r="D435" s="19" t="s">
        <v>434</v>
      </c>
      <c r="E435" s="20" t="s">
        <v>40</v>
      </c>
      <c r="F435" s="21">
        <v>1</v>
      </c>
      <c r="G435" s="55"/>
      <c r="H435" s="23">
        <v>3000</v>
      </c>
      <c r="I435" s="24">
        <v>3000</v>
      </c>
      <c r="J435" s="23">
        <v>3000</v>
      </c>
      <c r="K435" s="25">
        <f t="shared" si="36"/>
        <v>0</v>
      </c>
      <c r="L435" s="26">
        <f t="shared" si="37"/>
        <v>0</v>
      </c>
      <c r="M435" s="27">
        <v>0</v>
      </c>
      <c r="N435" s="28">
        <f t="shared" si="38"/>
        <v>3000</v>
      </c>
      <c r="O435" s="29">
        <f t="shared" si="39"/>
        <v>3000</v>
      </c>
      <c r="P435" s="29">
        <f t="shared" si="40"/>
        <v>3000</v>
      </c>
      <c r="Q435" s="30" t="e" cm="1">
        <f t="array" aca="1" ref="Q435" ca="1">spellNumber(P435)</f>
        <v>#NAME?</v>
      </c>
      <c r="R435" s="31">
        <f t="shared" si="41"/>
        <v>3200</v>
      </c>
      <c r="S435" s="32">
        <v>0</v>
      </c>
      <c r="T435" s="32">
        <v>0</v>
      </c>
      <c r="U435" s="32">
        <v>0</v>
      </c>
      <c r="V435" s="32">
        <v>0</v>
      </c>
      <c r="W435" s="32">
        <v>7000</v>
      </c>
      <c r="X435" s="32">
        <v>3000</v>
      </c>
      <c r="Y435" s="32">
        <v>3000</v>
      </c>
      <c r="Z435" s="32">
        <v>3000</v>
      </c>
      <c r="AA435" s="33">
        <v>3000</v>
      </c>
      <c r="AB435" s="34">
        <v>3000</v>
      </c>
      <c r="AC435" s="35">
        <v>3000</v>
      </c>
      <c r="AD435" s="36"/>
    </row>
    <row r="436" spans="1:30" ht="16.5" customHeight="1" x14ac:dyDescent="0.25">
      <c r="A436" s="19" t="s">
        <v>1788</v>
      </c>
      <c r="B436" s="19" t="s">
        <v>1789</v>
      </c>
      <c r="C436" s="19" t="s">
        <v>1790</v>
      </c>
      <c r="D436" s="19" t="s">
        <v>282</v>
      </c>
      <c r="E436" s="20" t="s">
        <v>34</v>
      </c>
      <c r="F436" s="21">
        <v>1</v>
      </c>
      <c r="G436" s="54"/>
      <c r="H436" s="23">
        <v>2000</v>
      </c>
      <c r="I436" s="24">
        <v>0</v>
      </c>
      <c r="J436" s="23">
        <v>0</v>
      </c>
      <c r="K436" s="25">
        <f t="shared" si="36"/>
        <v>0</v>
      </c>
      <c r="L436" s="26">
        <f t="shared" si="37"/>
        <v>0</v>
      </c>
      <c r="M436" s="27">
        <v>0</v>
      </c>
      <c r="N436" s="28">
        <f t="shared" si="38"/>
        <v>0</v>
      </c>
      <c r="O436" s="29">
        <f t="shared" si="39"/>
        <v>0</v>
      </c>
      <c r="P436" s="29">
        <f t="shared" si="40"/>
        <v>0</v>
      </c>
      <c r="Q436" s="30" t="e" cm="1">
        <f t="array" aca="1" ref="Q436" ca="1">spellNumber(P436)</f>
        <v>#NAME?</v>
      </c>
      <c r="R436" s="31">
        <f t="shared" si="41"/>
        <v>200</v>
      </c>
      <c r="S436" s="32">
        <v>0</v>
      </c>
      <c r="T436" s="32">
        <v>0</v>
      </c>
      <c r="U436" s="32">
        <v>0</v>
      </c>
      <c r="V436" s="32">
        <v>0</v>
      </c>
      <c r="W436" s="32">
        <v>0</v>
      </c>
      <c r="X436" s="32">
        <v>18000</v>
      </c>
      <c r="Y436" s="32">
        <v>0</v>
      </c>
      <c r="Z436" s="32">
        <v>0</v>
      </c>
      <c r="AA436" s="33">
        <v>0</v>
      </c>
      <c r="AB436" s="34">
        <v>0</v>
      </c>
      <c r="AC436" s="35">
        <v>0</v>
      </c>
      <c r="AD436" s="36"/>
    </row>
    <row r="437" spans="1:30" ht="16.5" customHeight="1" x14ac:dyDescent="0.25">
      <c r="A437" s="19" t="s">
        <v>1791</v>
      </c>
      <c r="B437" s="19" t="s">
        <v>1792</v>
      </c>
      <c r="C437" s="19" t="s">
        <v>1793</v>
      </c>
      <c r="D437" s="19" t="s">
        <v>434</v>
      </c>
      <c r="E437" s="20" t="s">
        <v>40</v>
      </c>
      <c r="F437" s="21">
        <v>1</v>
      </c>
      <c r="G437" s="55"/>
      <c r="H437" s="23">
        <v>3000</v>
      </c>
      <c r="I437" s="24">
        <v>5400</v>
      </c>
      <c r="J437" s="23">
        <v>0</v>
      </c>
      <c r="K437" s="25">
        <f t="shared" si="36"/>
        <v>5400</v>
      </c>
      <c r="L437" s="26">
        <f t="shared" si="37"/>
        <v>1.8</v>
      </c>
      <c r="M437" s="27">
        <v>0</v>
      </c>
      <c r="N437" s="28">
        <f t="shared" si="38"/>
        <v>5400</v>
      </c>
      <c r="O437" s="29">
        <f t="shared" si="39"/>
        <v>5400</v>
      </c>
      <c r="P437" s="29">
        <f t="shared" si="40"/>
        <v>5400</v>
      </c>
      <c r="Q437" s="30" t="e" cm="1">
        <f t="array" aca="1" ref="Q437" ca="1">spellNumber(P437)</f>
        <v>#NAME?</v>
      </c>
      <c r="R437" s="31">
        <f t="shared" si="41"/>
        <v>5600</v>
      </c>
      <c r="S437" s="32">
        <v>0</v>
      </c>
      <c r="T437" s="32">
        <v>0</v>
      </c>
      <c r="U437" s="32">
        <v>0</v>
      </c>
      <c r="V437" s="32">
        <v>0</v>
      </c>
      <c r="W437" s="32">
        <v>0</v>
      </c>
      <c r="X437" s="32">
        <v>6000</v>
      </c>
      <c r="Y437" s="32">
        <v>5000</v>
      </c>
      <c r="Z437" s="32">
        <v>3600</v>
      </c>
      <c r="AA437" s="33">
        <v>3600</v>
      </c>
      <c r="AB437" s="34">
        <v>0</v>
      </c>
      <c r="AC437" s="35">
        <v>5400</v>
      </c>
      <c r="AD437" s="36"/>
    </row>
    <row r="438" spans="1:30" ht="16.5" customHeight="1" x14ac:dyDescent="0.25">
      <c r="A438" s="19" t="s">
        <v>1794</v>
      </c>
      <c r="B438" s="19" t="s">
        <v>1795</v>
      </c>
      <c r="C438" s="19" t="s">
        <v>1796</v>
      </c>
      <c r="D438" s="19" t="s">
        <v>434</v>
      </c>
      <c r="E438" s="20" t="s">
        <v>40</v>
      </c>
      <c r="F438" s="21">
        <v>1</v>
      </c>
      <c r="G438" s="54"/>
      <c r="H438" s="23">
        <v>2500</v>
      </c>
      <c r="I438" s="24">
        <v>13800</v>
      </c>
      <c r="J438" s="23">
        <v>0</v>
      </c>
      <c r="K438" s="25">
        <f t="shared" si="36"/>
        <v>13800</v>
      </c>
      <c r="L438" s="26">
        <f t="shared" si="37"/>
        <v>5.52</v>
      </c>
      <c r="M438" s="27">
        <v>0</v>
      </c>
      <c r="N438" s="28">
        <f t="shared" si="38"/>
        <v>13800</v>
      </c>
      <c r="O438" s="29">
        <f t="shared" si="39"/>
        <v>13800</v>
      </c>
      <c r="P438" s="29">
        <f t="shared" si="40"/>
        <v>13800</v>
      </c>
      <c r="Q438" s="30" t="e" cm="1">
        <f t="array" aca="1" ref="Q438" ca="1">spellNumber(P438)</f>
        <v>#NAME?</v>
      </c>
      <c r="R438" s="31">
        <f t="shared" si="41"/>
        <v>14000</v>
      </c>
      <c r="S438" s="32">
        <v>0</v>
      </c>
      <c r="T438" s="32">
        <v>0</v>
      </c>
      <c r="U438" s="32">
        <v>0</v>
      </c>
      <c r="V438" s="32">
        <v>0</v>
      </c>
      <c r="W438" s="32">
        <v>0</v>
      </c>
      <c r="X438" s="32">
        <v>5500</v>
      </c>
      <c r="Y438" s="32">
        <v>0</v>
      </c>
      <c r="Z438" s="32">
        <v>3700</v>
      </c>
      <c r="AA438" s="33">
        <v>0</v>
      </c>
      <c r="AB438" s="34">
        <v>0</v>
      </c>
      <c r="AC438" s="35">
        <v>0</v>
      </c>
      <c r="AD438" s="36"/>
    </row>
    <row r="439" spans="1:30" ht="16.5" customHeight="1" x14ac:dyDescent="0.25">
      <c r="A439" s="19" t="s">
        <v>1797</v>
      </c>
      <c r="B439" s="19" t="s">
        <v>1798</v>
      </c>
      <c r="C439" s="19" t="s">
        <v>1799</v>
      </c>
      <c r="D439" s="19" t="s">
        <v>434</v>
      </c>
      <c r="E439" s="20" t="s">
        <v>40</v>
      </c>
      <c r="F439" s="21">
        <v>1</v>
      </c>
      <c r="G439" s="54" t="s">
        <v>1800</v>
      </c>
      <c r="H439" s="23">
        <v>3000</v>
      </c>
      <c r="I439" s="24">
        <v>3000</v>
      </c>
      <c r="J439" s="23">
        <v>3000</v>
      </c>
      <c r="K439" s="25">
        <f t="shared" si="36"/>
        <v>0</v>
      </c>
      <c r="L439" s="26">
        <f t="shared" si="37"/>
        <v>0</v>
      </c>
      <c r="M439" s="27">
        <v>0</v>
      </c>
      <c r="N439" s="28">
        <f t="shared" si="38"/>
        <v>3000</v>
      </c>
      <c r="O439" s="29">
        <f t="shared" si="39"/>
        <v>3000</v>
      </c>
      <c r="P439" s="29">
        <f t="shared" si="40"/>
        <v>3000</v>
      </c>
      <c r="Q439" s="30" t="e" cm="1">
        <f t="array" aca="1" ref="Q439" ca="1">spellNumber(P439)</f>
        <v>#NAME?</v>
      </c>
      <c r="R439" s="31">
        <f t="shared" si="41"/>
        <v>3200</v>
      </c>
      <c r="S439" s="32">
        <v>0</v>
      </c>
      <c r="T439" s="32">
        <v>0</v>
      </c>
      <c r="U439" s="32">
        <v>0</v>
      </c>
      <c r="V439" s="32">
        <v>0</v>
      </c>
      <c r="W439" s="32">
        <v>3000</v>
      </c>
      <c r="X439" s="32">
        <v>6000</v>
      </c>
      <c r="Y439" s="32">
        <v>3000</v>
      </c>
      <c r="Z439" s="32">
        <v>3000</v>
      </c>
      <c r="AA439" s="33">
        <v>3000</v>
      </c>
      <c r="AB439" s="34">
        <v>0</v>
      </c>
      <c r="AC439" s="35">
        <v>3000</v>
      </c>
      <c r="AD439" s="36"/>
    </row>
    <row r="440" spans="1:30" ht="16.5" customHeight="1" x14ac:dyDescent="0.25">
      <c r="A440" s="19" t="s">
        <v>1801</v>
      </c>
      <c r="B440" s="19" t="s">
        <v>1802</v>
      </c>
      <c r="C440" s="19" t="s">
        <v>1803</v>
      </c>
      <c r="D440" s="19" t="s">
        <v>434</v>
      </c>
      <c r="E440" s="20" t="s">
        <v>40</v>
      </c>
      <c r="F440" s="21">
        <v>1</v>
      </c>
      <c r="G440" s="54" t="s">
        <v>1804</v>
      </c>
      <c r="H440" s="23">
        <v>3000</v>
      </c>
      <c r="I440" s="24">
        <v>15000</v>
      </c>
      <c r="J440" s="23">
        <v>3000</v>
      </c>
      <c r="K440" s="25">
        <f t="shared" si="36"/>
        <v>12000</v>
      </c>
      <c r="L440" s="26">
        <f t="shared" si="37"/>
        <v>4</v>
      </c>
      <c r="M440" s="27">
        <v>0</v>
      </c>
      <c r="N440" s="28">
        <f t="shared" si="38"/>
        <v>15000</v>
      </c>
      <c r="O440" s="29">
        <f t="shared" si="39"/>
        <v>15000</v>
      </c>
      <c r="P440" s="29">
        <f t="shared" si="40"/>
        <v>15000</v>
      </c>
      <c r="Q440" s="30" t="e" cm="1">
        <f t="array" aca="1" ref="Q440" ca="1">spellNumber(P440)</f>
        <v>#NAME?</v>
      </c>
      <c r="R440" s="31">
        <f t="shared" si="41"/>
        <v>15200</v>
      </c>
      <c r="S440" s="32">
        <v>0</v>
      </c>
      <c r="T440" s="32">
        <v>0</v>
      </c>
      <c r="U440" s="32">
        <v>0</v>
      </c>
      <c r="V440" s="32">
        <v>0</v>
      </c>
      <c r="W440" s="32">
        <v>0</v>
      </c>
      <c r="X440" s="32">
        <v>5000</v>
      </c>
      <c r="Y440" s="32">
        <v>0</v>
      </c>
      <c r="Z440" s="32">
        <v>0</v>
      </c>
      <c r="AA440" s="33">
        <v>0</v>
      </c>
      <c r="AB440" s="34">
        <v>0</v>
      </c>
      <c r="AC440" s="35">
        <v>4000</v>
      </c>
      <c r="AD440" s="36"/>
    </row>
    <row r="441" spans="1:30" ht="16.5" customHeight="1" x14ac:dyDescent="0.25">
      <c r="A441" s="19" t="s">
        <v>1805</v>
      </c>
      <c r="B441" s="19" t="s">
        <v>1806</v>
      </c>
      <c r="C441" s="19" t="s">
        <v>1807</v>
      </c>
      <c r="D441" s="19" t="s">
        <v>434</v>
      </c>
      <c r="E441" s="20" t="s">
        <v>40</v>
      </c>
      <c r="F441" s="21">
        <v>1</v>
      </c>
      <c r="G441" s="54"/>
      <c r="H441" s="23">
        <v>3000</v>
      </c>
      <c r="I441" s="24">
        <v>3000</v>
      </c>
      <c r="J441" s="23">
        <v>3000</v>
      </c>
      <c r="K441" s="25">
        <f t="shared" si="36"/>
        <v>0</v>
      </c>
      <c r="L441" s="26">
        <f t="shared" si="37"/>
        <v>0</v>
      </c>
      <c r="M441" s="27">
        <v>0</v>
      </c>
      <c r="N441" s="28">
        <f t="shared" si="38"/>
        <v>3000</v>
      </c>
      <c r="O441" s="29">
        <f t="shared" si="39"/>
        <v>3000</v>
      </c>
      <c r="P441" s="29">
        <f t="shared" si="40"/>
        <v>3000</v>
      </c>
      <c r="Q441" s="30" t="e" cm="1">
        <f t="array" aca="1" ref="Q441" ca="1">spellNumber(P441)</f>
        <v>#NAME?</v>
      </c>
      <c r="R441" s="31">
        <f t="shared" si="41"/>
        <v>3200</v>
      </c>
      <c r="S441" s="32">
        <v>0</v>
      </c>
      <c r="T441" s="32">
        <v>0</v>
      </c>
      <c r="U441" s="32">
        <v>0</v>
      </c>
      <c r="V441" s="32">
        <v>0</v>
      </c>
      <c r="W441" s="32">
        <v>6000</v>
      </c>
      <c r="X441" s="32">
        <v>3000</v>
      </c>
      <c r="Y441" s="32">
        <v>3000</v>
      </c>
      <c r="Z441" s="32">
        <v>3000</v>
      </c>
      <c r="AA441" s="33">
        <v>3000</v>
      </c>
      <c r="AB441" s="34">
        <v>3000</v>
      </c>
      <c r="AC441" s="35">
        <v>3000</v>
      </c>
      <c r="AD441" s="36"/>
    </row>
    <row r="442" spans="1:30" ht="16.5" customHeight="1" x14ac:dyDescent="0.25">
      <c r="A442" s="19" t="s">
        <v>1808</v>
      </c>
      <c r="B442" s="19" t="s">
        <v>1809</v>
      </c>
      <c r="C442" s="19" t="s">
        <v>1559</v>
      </c>
      <c r="D442" s="19" t="s">
        <v>434</v>
      </c>
      <c r="E442" s="20" t="s">
        <v>40</v>
      </c>
      <c r="F442" s="21">
        <v>1</v>
      </c>
      <c r="G442" s="55"/>
      <c r="H442" s="23">
        <v>3000</v>
      </c>
      <c r="I442" s="24">
        <v>3000</v>
      </c>
      <c r="J442" s="23">
        <v>3000</v>
      </c>
      <c r="K442" s="25">
        <f t="shared" si="36"/>
        <v>0</v>
      </c>
      <c r="L442" s="26">
        <f t="shared" si="37"/>
        <v>0</v>
      </c>
      <c r="M442" s="27">
        <v>0</v>
      </c>
      <c r="N442" s="28">
        <f t="shared" si="38"/>
        <v>3000</v>
      </c>
      <c r="O442" s="29">
        <f t="shared" si="39"/>
        <v>3000</v>
      </c>
      <c r="P442" s="29">
        <f t="shared" si="40"/>
        <v>3000</v>
      </c>
      <c r="Q442" s="30" t="e" cm="1">
        <f t="array" aca="1" ref="Q442" ca="1">spellNumber(P442)</f>
        <v>#NAME?</v>
      </c>
      <c r="R442" s="31">
        <f t="shared" si="41"/>
        <v>3200</v>
      </c>
      <c r="S442" s="32">
        <v>0</v>
      </c>
      <c r="T442" s="32">
        <v>0</v>
      </c>
      <c r="U442" s="32">
        <v>0</v>
      </c>
      <c r="V442" s="32">
        <v>0</v>
      </c>
      <c r="W442" s="32">
        <v>6000</v>
      </c>
      <c r="X442" s="32">
        <v>3000</v>
      </c>
      <c r="Y442" s="32">
        <v>3000</v>
      </c>
      <c r="Z442" s="32">
        <v>3000</v>
      </c>
      <c r="AA442" s="33">
        <v>0</v>
      </c>
      <c r="AB442" s="34">
        <v>3000</v>
      </c>
      <c r="AC442" s="35">
        <v>3000</v>
      </c>
      <c r="AD442" s="36"/>
    </row>
    <row r="443" spans="1:30" ht="16.5" customHeight="1" x14ac:dyDescent="0.25">
      <c r="A443" s="19" t="s">
        <v>1810</v>
      </c>
      <c r="B443" s="19" t="s">
        <v>1811</v>
      </c>
      <c r="C443" s="19" t="s">
        <v>1812</v>
      </c>
      <c r="D443" s="19" t="s">
        <v>434</v>
      </c>
      <c r="E443" s="20" t="s">
        <v>40</v>
      </c>
      <c r="F443" s="21">
        <v>1</v>
      </c>
      <c r="G443" s="54"/>
      <c r="H443" s="23">
        <v>2500</v>
      </c>
      <c r="I443" s="24">
        <v>5000</v>
      </c>
      <c r="J443" s="23">
        <v>2500</v>
      </c>
      <c r="K443" s="25">
        <f t="shared" si="36"/>
        <v>2500</v>
      </c>
      <c r="L443" s="26">
        <f t="shared" si="37"/>
        <v>1</v>
      </c>
      <c r="M443" s="27">
        <v>0</v>
      </c>
      <c r="N443" s="28">
        <f t="shared" si="38"/>
        <v>5000</v>
      </c>
      <c r="O443" s="29">
        <f t="shared" si="39"/>
        <v>5000</v>
      </c>
      <c r="P443" s="29">
        <f t="shared" si="40"/>
        <v>5000</v>
      </c>
      <c r="Q443" s="30" t="e" cm="1">
        <f t="array" aca="1" ref="Q443" ca="1">spellNumber(P443)</f>
        <v>#NAME?</v>
      </c>
      <c r="R443" s="31">
        <f t="shared" si="41"/>
        <v>5200</v>
      </c>
      <c r="S443" s="32">
        <v>0</v>
      </c>
      <c r="T443" s="32">
        <v>0</v>
      </c>
      <c r="U443" s="32">
        <v>0</v>
      </c>
      <c r="V443" s="32">
        <v>0</v>
      </c>
      <c r="W443" s="32">
        <v>0</v>
      </c>
      <c r="X443" s="32">
        <v>0</v>
      </c>
      <c r="Y443" s="32">
        <v>9000</v>
      </c>
      <c r="Z443" s="32">
        <v>3500</v>
      </c>
      <c r="AA443" s="33">
        <v>2500</v>
      </c>
      <c r="AB443" s="34">
        <v>2500</v>
      </c>
      <c r="AC443" s="35">
        <v>2500</v>
      </c>
      <c r="AD443" s="36"/>
    </row>
    <row r="444" spans="1:30" ht="16.5" customHeight="1" x14ac:dyDescent="0.25">
      <c r="A444" s="19" t="s">
        <v>1813</v>
      </c>
      <c r="B444" s="19" t="s">
        <v>1814</v>
      </c>
      <c r="C444" s="19" t="s">
        <v>220</v>
      </c>
      <c r="D444" s="19" t="s">
        <v>434</v>
      </c>
      <c r="E444" s="20" t="s">
        <v>40</v>
      </c>
      <c r="F444" s="21">
        <v>1</v>
      </c>
      <c r="G444" s="54"/>
      <c r="H444" s="23">
        <v>3000</v>
      </c>
      <c r="I444" s="24">
        <v>3000</v>
      </c>
      <c r="J444" s="23">
        <v>3000</v>
      </c>
      <c r="K444" s="25">
        <f t="shared" si="36"/>
        <v>0</v>
      </c>
      <c r="L444" s="26">
        <f t="shared" si="37"/>
        <v>0</v>
      </c>
      <c r="M444" s="27">
        <v>0</v>
      </c>
      <c r="N444" s="28">
        <f t="shared" si="38"/>
        <v>3000</v>
      </c>
      <c r="O444" s="29">
        <f t="shared" si="39"/>
        <v>3000</v>
      </c>
      <c r="P444" s="29">
        <f t="shared" si="40"/>
        <v>3000</v>
      </c>
      <c r="Q444" s="30" t="e" cm="1">
        <f t="array" aca="1" ref="Q444" ca="1">spellNumber(P444)</f>
        <v>#NAME?</v>
      </c>
      <c r="R444" s="31">
        <f t="shared" si="41"/>
        <v>3200</v>
      </c>
      <c r="S444" s="32">
        <v>0</v>
      </c>
      <c r="T444" s="32">
        <v>0</v>
      </c>
      <c r="U444" s="32">
        <v>0</v>
      </c>
      <c r="V444" s="32">
        <v>0</v>
      </c>
      <c r="W444" s="32">
        <v>8000</v>
      </c>
      <c r="X444" s="32">
        <v>3000</v>
      </c>
      <c r="Y444" s="32">
        <v>3000</v>
      </c>
      <c r="Z444" s="32">
        <v>3000</v>
      </c>
      <c r="AA444" s="33">
        <v>3000</v>
      </c>
      <c r="AB444" s="34">
        <v>3000</v>
      </c>
      <c r="AC444" s="35">
        <v>3000</v>
      </c>
      <c r="AD444" s="36"/>
    </row>
    <row r="445" spans="1:30" ht="16.5" customHeight="1" x14ac:dyDescent="0.25">
      <c r="A445" s="19" t="s">
        <v>1815</v>
      </c>
      <c r="B445" s="19" t="s">
        <v>1816</v>
      </c>
      <c r="C445" s="19" t="s">
        <v>1817</v>
      </c>
      <c r="D445" s="19" t="s">
        <v>434</v>
      </c>
      <c r="E445" s="20" t="s">
        <v>40</v>
      </c>
      <c r="F445" s="21">
        <v>1</v>
      </c>
      <c r="G445" s="54"/>
      <c r="H445" s="23">
        <v>3000</v>
      </c>
      <c r="I445" s="24">
        <v>3000</v>
      </c>
      <c r="J445" s="23">
        <v>3000</v>
      </c>
      <c r="K445" s="25">
        <f t="shared" si="36"/>
        <v>0</v>
      </c>
      <c r="L445" s="26">
        <f t="shared" si="37"/>
        <v>0</v>
      </c>
      <c r="M445" s="27">
        <v>0</v>
      </c>
      <c r="N445" s="28">
        <f t="shared" si="38"/>
        <v>3000</v>
      </c>
      <c r="O445" s="29">
        <f t="shared" si="39"/>
        <v>3000</v>
      </c>
      <c r="P445" s="29">
        <f t="shared" si="40"/>
        <v>3000</v>
      </c>
      <c r="Q445" s="30" t="e" cm="1">
        <f t="array" aca="1" ref="Q445" ca="1">spellNumber(P445)</f>
        <v>#NAME?</v>
      </c>
      <c r="R445" s="31">
        <f t="shared" si="41"/>
        <v>3200</v>
      </c>
      <c r="S445" s="32">
        <v>0</v>
      </c>
      <c r="T445" s="32">
        <v>0</v>
      </c>
      <c r="U445" s="32">
        <v>0</v>
      </c>
      <c r="V445" s="32">
        <v>0</v>
      </c>
      <c r="W445" s="32">
        <v>8000</v>
      </c>
      <c r="X445" s="32">
        <v>3000</v>
      </c>
      <c r="Y445" s="32">
        <v>3000</v>
      </c>
      <c r="Z445" s="32">
        <v>3000</v>
      </c>
      <c r="AA445" s="33">
        <v>3000</v>
      </c>
      <c r="AB445" s="34">
        <v>3000</v>
      </c>
      <c r="AC445" s="35">
        <v>3000</v>
      </c>
      <c r="AD445" s="36"/>
    </row>
    <row r="446" spans="1:30" ht="16.5" customHeight="1" x14ac:dyDescent="0.25">
      <c r="A446" s="19" t="s">
        <v>1818</v>
      </c>
      <c r="B446" s="19" t="s">
        <v>1819</v>
      </c>
      <c r="C446" s="19" t="s">
        <v>1775</v>
      </c>
      <c r="D446" s="19" t="s">
        <v>1820</v>
      </c>
      <c r="E446" s="20" t="s">
        <v>40</v>
      </c>
      <c r="F446" s="21">
        <v>2</v>
      </c>
      <c r="G446" s="55"/>
      <c r="H446" s="23">
        <v>4500</v>
      </c>
      <c r="I446" s="24">
        <v>5100</v>
      </c>
      <c r="J446" s="23">
        <v>0</v>
      </c>
      <c r="K446" s="25">
        <f t="shared" si="36"/>
        <v>5100</v>
      </c>
      <c r="L446" s="26">
        <f t="shared" si="37"/>
        <v>1.1333333333333333</v>
      </c>
      <c r="M446" s="27">
        <v>0</v>
      </c>
      <c r="N446" s="28">
        <f t="shared" si="38"/>
        <v>5100</v>
      </c>
      <c r="O446" s="29">
        <f t="shared" si="39"/>
        <v>5100</v>
      </c>
      <c r="P446" s="29">
        <f t="shared" si="40"/>
        <v>5100</v>
      </c>
      <c r="Q446" s="30" t="e" cm="1">
        <f t="array" aca="1" ref="Q446" ca="1">spellNumber(P446)</f>
        <v>#NAME?</v>
      </c>
      <c r="R446" s="31">
        <f t="shared" si="41"/>
        <v>5300</v>
      </c>
      <c r="S446" s="32">
        <v>0</v>
      </c>
      <c r="T446" s="32">
        <v>4000</v>
      </c>
      <c r="U446" s="32">
        <v>0</v>
      </c>
      <c r="V446" s="32">
        <v>0</v>
      </c>
      <c r="W446" s="32">
        <v>8000</v>
      </c>
      <c r="X446" s="32">
        <v>4500</v>
      </c>
      <c r="Y446" s="32">
        <v>5000</v>
      </c>
      <c r="Z446" s="32">
        <v>5100</v>
      </c>
      <c r="AA446" s="33">
        <v>5300</v>
      </c>
      <c r="AB446" s="34">
        <v>5000</v>
      </c>
      <c r="AC446" s="35">
        <v>5000</v>
      </c>
      <c r="AD446" s="36"/>
    </row>
    <row r="447" spans="1:30" ht="16.5" customHeight="1" x14ac:dyDescent="0.25">
      <c r="A447" s="19" t="s">
        <v>1821</v>
      </c>
      <c r="B447" s="19" t="s">
        <v>1822</v>
      </c>
      <c r="C447" s="19" t="s">
        <v>1823</v>
      </c>
      <c r="D447" s="19" t="s">
        <v>434</v>
      </c>
      <c r="E447" s="20" t="s">
        <v>40</v>
      </c>
      <c r="F447" s="21">
        <v>1</v>
      </c>
      <c r="G447" s="55"/>
      <c r="H447" s="23">
        <v>3000</v>
      </c>
      <c r="I447" s="24">
        <v>3000</v>
      </c>
      <c r="J447" s="23">
        <v>3000</v>
      </c>
      <c r="K447" s="25">
        <f t="shared" si="36"/>
        <v>0</v>
      </c>
      <c r="L447" s="26">
        <f t="shared" si="37"/>
        <v>0</v>
      </c>
      <c r="M447" s="27">
        <v>0</v>
      </c>
      <c r="N447" s="28">
        <f t="shared" si="38"/>
        <v>3000</v>
      </c>
      <c r="O447" s="29">
        <f t="shared" si="39"/>
        <v>3000</v>
      </c>
      <c r="P447" s="29">
        <f t="shared" si="40"/>
        <v>3000</v>
      </c>
      <c r="Q447" s="30" t="e" cm="1">
        <f t="array" aca="1" ref="Q447" ca="1">spellNumber(P447)</f>
        <v>#NAME?</v>
      </c>
      <c r="R447" s="31">
        <f t="shared" si="41"/>
        <v>3200</v>
      </c>
      <c r="S447" s="32">
        <v>0</v>
      </c>
      <c r="T447" s="32">
        <v>0</v>
      </c>
      <c r="U447" s="32">
        <v>0</v>
      </c>
      <c r="V447" s="32">
        <v>0</v>
      </c>
      <c r="W447" s="32">
        <v>5000</v>
      </c>
      <c r="X447" s="32">
        <v>5000</v>
      </c>
      <c r="Y447" s="32">
        <v>4000</v>
      </c>
      <c r="Z447" s="32">
        <v>3000</v>
      </c>
      <c r="AA447" s="33">
        <v>3000</v>
      </c>
      <c r="AB447" s="34">
        <v>3000</v>
      </c>
      <c r="AC447" s="35">
        <v>3000</v>
      </c>
      <c r="AD447" s="36"/>
    </row>
    <row r="448" spans="1:30" ht="16.5" customHeight="1" x14ac:dyDescent="0.25">
      <c r="A448" s="19" t="s">
        <v>1824</v>
      </c>
      <c r="B448" s="19" t="s">
        <v>1825</v>
      </c>
      <c r="C448" s="19" t="s">
        <v>1826</v>
      </c>
      <c r="D448" s="19" t="s">
        <v>434</v>
      </c>
      <c r="E448" s="20" t="s">
        <v>40</v>
      </c>
      <c r="F448" s="21">
        <v>1</v>
      </c>
      <c r="G448" s="55"/>
      <c r="H448" s="23">
        <v>2500</v>
      </c>
      <c r="I448" s="24">
        <v>6400</v>
      </c>
      <c r="J448" s="23">
        <v>4000</v>
      </c>
      <c r="K448" s="25">
        <f t="shared" si="36"/>
        <v>2400</v>
      </c>
      <c r="L448" s="26">
        <f t="shared" si="37"/>
        <v>0.96</v>
      </c>
      <c r="M448" s="27">
        <v>0</v>
      </c>
      <c r="N448" s="28">
        <f t="shared" si="38"/>
        <v>6400</v>
      </c>
      <c r="O448" s="29">
        <f t="shared" si="39"/>
        <v>6400</v>
      </c>
      <c r="P448" s="29">
        <f t="shared" si="40"/>
        <v>6400</v>
      </c>
      <c r="Q448" s="30" t="e" cm="1">
        <f t="array" aca="1" ref="Q448" ca="1">spellNumber(P448)</f>
        <v>#NAME?</v>
      </c>
      <c r="R448" s="31">
        <f t="shared" si="41"/>
        <v>6600</v>
      </c>
      <c r="S448" s="32">
        <v>0</v>
      </c>
      <c r="T448" s="32">
        <v>0</v>
      </c>
      <c r="U448" s="32">
        <v>0</v>
      </c>
      <c r="V448" s="32">
        <v>0</v>
      </c>
      <c r="W448" s="32">
        <v>0</v>
      </c>
      <c r="X448" s="32">
        <v>0</v>
      </c>
      <c r="Y448" s="32">
        <v>5000</v>
      </c>
      <c r="Z448" s="32">
        <v>3100</v>
      </c>
      <c r="AA448" s="33">
        <v>2500</v>
      </c>
      <c r="AB448" s="34">
        <v>0</v>
      </c>
      <c r="AC448" s="35">
        <v>3500</v>
      </c>
      <c r="AD448" s="36"/>
    </row>
    <row r="449" spans="1:30" ht="16.5" customHeight="1" x14ac:dyDescent="0.25">
      <c r="A449" s="19" t="s">
        <v>1827</v>
      </c>
      <c r="B449" s="19" t="s">
        <v>1828</v>
      </c>
      <c r="C449" s="19" t="s">
        <v>707</v>
      </c>
      <c r="D449" s="19" t="s">
        <v>697</v>
      </c>
      <c r="E449" s="20"/>
      <c r="F449" s="21">
        <v>1</v>
      </c>
      <c r="G449" s="54"/>
      <c r="H449" s="23">
        <v>1800</v>
      </c>
      <c r="I449" s="24">
        <v>4740</v>
      </c>
      <c r="J449" s="23">
        <v>1800</v>
      </c>
      <c r="K449" s="25">
        <f t="shared" si="36"/>
        <v>2940</v>
      </c>
      <c r="L449" s="26">
        <f t="shared" si="37"/>
        <v>1.6333333333333333</v>
      </c>
      <c r="M449" s="27">
        <v>0</v>
      </c>
      <c r="N449" s="28">
        <f t="shared" si="38"/>
        <v>4740</v>
      </c>
      <c r="O449" s="29">
        <f t="shared" si="39"/>
        <v>4740</v>
      </c>
      <c r="P449" s="29">
        <f t="shared" si="40"/>
        <v>4700</v>
      </c>
      <c r="Q449" s="30" t="e" cm="1">
        <f t="array" aca="1" ref="Q449" ca="1">spellNumber(P449)</f>
        <v>#NAME?</v>
      </c>
      <c r="R449" s="31">
        <f t="shared" si="41"/>
        <v>4900</v>
      </c>
      <c r="S449" s="32">
        <v>0</v>
      </c>
      <c r="T449" s="32">
        <v>0</v>
      </c>
      <c r="U449" s="32">
        <v>0</v>
      </c>
      <c r="V449" s="32">
        <v>0</v>
      </c>
      <c r="W449" s="32">
        <v>0</v>
      </c>
      <c r="X449" s="32">
        <v>0</v>
      </c>
      <c r="Y449" s="32">
        <v>1800</v>
      </c>
      <c r="Z449" s="32">
        <v>2660</v>
      </c>
      <c r="AA449" s="33">
        <v>1800</v>
      </c>
      <c r="AB449" s="34">
        <v>1800</v>
      </c>
      <c r="AC449" s="35">
        <v>1800</v>
      </c>
      <c r="AD449" s="36"/>
    </row>
    <row r="450" spans="1:30" s="46" customFormat="1" ht="16.5" customHeight="1" x14ac:dyDescent="0.25">
      <c r="A450" s="19" t="s">
        <v>1829</v>
      </c>
      <c r="B450" s="19" t="s">
        <v>1830</v>
      </c>
      <c r="C450" s="19" t="s">
        <v>1831</v>
      </c>
      <c r="D450" s="19" t="s">
        <v>1156</v>
      </c>
      <c r="E450" s="20"/>
      <c r="F450" s="56">
        <v>1</v>
      </c>
      <c r="G450" s="54"/>
      <c r="H450" s="23">
        <v>2000</v>
      </c>
      <c r="I450" s="24">
        <v>12000</v>
      </c>
      <c r="J450" s="23">
        <v>0</v>
      </c>
      <c r="K450" s="25">
        <f t="shared" ref="K450:K460" si="42">I450-J450</f>
        <v>12000</v>
      </c>
      <c r="L450" s="26">
        <f t="shared" ref="L450:L460" si="43">K450/H450</f>
        <v>6</v>
      </c>
      <c r="M450" s="27">
        <v>0</v>
      </c>
      <c r="N450" s="28">
        <f t="shared" ref="N450:N460" si="44">I450+M450</f>
        <v>12000</v>
      </c>
      <c r="O450" s="29">
        <f t="shared" si="39"/>
        <v>12000</v>
      </c>
      <c r="P450" s="29">
        <f t="shared" si="40"/>
        <v>12000</v>
      </c>
      <c r="Q450" s="30" t="e" cm="1">
        <f t="array" aca="1" ref="Q450" ca="1">spellNumber(P450)</f>
        <v>#NAME?</v>
      </c>
      <c r="R450" s="31">
        <f t="shared" si="41"/>
        <v>12200</v>
      </c>
      <c r="S450" s="32">
        <v>0</v>
      </c>
      <c r="T450" s="32">
        <v>0</v>
      </c>
      <c r="U450" s="32">
        <v>0</v>
      </c>
      <c r="V450" s="32">
        <v>0</v>
      </c>
      <c r="W450" s="32">
        <v>0</v>
      </c>
      <c r="X450" s="32">
        <v>4000</v>
      </c>
      <c r="Y450" s="32">
        <v>0</v>
      </c>
      <c r="Z450" s="32">
        <v>2000</v>
      </c>
      <c r="AA450" s="33">
        <v>0</v>
      </c>
      <c r="AB450" s="34">
        <v>0</v>
      </c>
      <c r="AC450" s="35">
        <v>0</v>
      </c>
      <c r="AD450" s="36"/>
    </row>
    <row r="451" spans="1:30" ht="16.5" customHeight="1" x14ac:dyDescent="0.25">
      <c r="A451" s="19" t="s">
        <v>1832</v>
      </c>
      <c r="B451" s="19" t="s">
        <v>1833</v>
      </c>
      <c r="C451" s="19" t="s">
        <v>1834</v>
      </c>
      <c r="D451" s="19" t="s">
        <v>1835</v>
      </c>
      <c r="E451" s="20"/>
      <c r="F451" s="56">
        <v>2</v>
      </c>
      <c r="G451" s="54"/>
      <c r="H451" s="23">
        <v>4000</v>
      </c>
      <c r="I451" s="24">
        <v>4000</v>
      </c>
      <c r="J451" s="23">
        <v>4000</v>
      </c>
      <c r="K451" s="37">
        <f t="shared" si="42"/>
        <v>0</v>
      </c>
      <c r="L451" s="38">
        <f t="shared" si="43"/>
        <v>0</v>
      </c>
      <c r="M451" s="27">
        <v>0</v>
      </c>
      <c r="N451" s="28">
        <f t="shared" si="44"/>
        <v>4000</v>
      </c>
      <c r="O451" s="29">
        <f t="shared" ref="O451:O460" si="45">N451/1</f>
        <v>4000</v>
      </c>
      <c r="P451" s="29">
        <f t="shared" ref="P451:P460" si="46">ROUND(O451,-2)</f>
        <v>4000</v>
      </c>
      <c r="Q451" s="30" t="e" cm="1">
        <f t="array" aca="1" ref="Q451" ca="1">spellNumber(P451)</f>
        <v>#NAME?</v>
      </c>
      <c r="R451" s="31">
        <f t="shared" ref="R451:R453" si="47">P451+200</f>
        <v>4200</v>
      </c>
      <c r="S451" s="32">
        <v>0</v>
      </c>
      <c r="T451" s="32">
        <v>0</v>
      </c>
      <c r="U451" s="32">
        <v>0</v>
      </c>
      <c r="V451" s="32">
        <v>0</v>
      </c>
      <c r="W451" s="32">
        <v>0</v>
      </c>
      <c r="X451" s="32">
        <v>4000</v>
      </c>
      <c r="Y451" s="32">
        <v>4000</v>
      </c>
      <c r="Z451" s="32">
        <v>4000</v>
      </c>
      <c r="AA451" s="33">
        <v>4000</v>
      </c>
      <c r="AB451" s="34">
        <v>4000</v>
      </c>
      <c r="AC451" s="35">
        <v>4000</v>
      </c>
      <c r="AD451" s="36"/>
    </row>
    <row r="452" spans="1:30" ht="16.5" customHeight="1" x14ac:dyDescent="0.25">
      <c r="A452" s="19" t="s">
        <v>1836</v>
      </c>
      <c r="B452" s="19" t="s">
        <v>1837</v>
      </c>
      <c r="C452" s="19" t="s">
        <v>1838</v>
      </c>
      <c r="D452" s="19" t="s">
        <v>83</v>
      </c>
      <c r="E452" s="20" t="s">
        <v>40</v>
      </c>
      <c r="F452" s="56">
        <v>1</v>
      </c>
      <c r="G452" s="54"/>
      <c r="H452" s="23">
        <v>2000</v>
      </c>
      <c r="I452" s="24">
        <v>6000</v>
      </c>
      <c r="J452" s="23">
        <v>0</v>
      </c>
      <c r="K452" s="25">
        <f t="shared" si="42"/>
        <v>6000</v>
      </c>
      <c r="L452" s="39">
        <f t="shared" si="43"/>
        <v>3</v>
      </c>
      <c r="M452" s="27">
        <v>0</v>
      </c>
      <c r="N452" s="28">
        <f t="shared" si="44"/>
        <v>6000</v>
      </c>
      <c r="O452" s="29">
        <f t="shared" si="45"/>
        <v>6000</v>
      </c>
      <c r="P452" s="29">
        <f t="shared" si="46"/>
        <v>6000</v>
      </c>
      <c r="Q452" s="30" t="e" cm="1">
        <f t="array" aca="1" ref="Q452" ca="1">spellNumber(P452)</f>
        <v>#NAME?</v>
      </c>
      <c r="R452" s="31">
        <f t="shared" si="47"/>
        <v>6200</v>
      </c>
      <c r="S452" s="32">
        <v>0</v>
      </c>
      <c r="T452" s="32">
        <v>0</v>
      </c>
      <c r="U452" s="32">
        <v>0</v>
      </c>
      <c r="V452" s="32">
        <v>0</v>
      </c>
      <c r="W452" s="32">
        <v>0</v>
      </c>
      <c r="X452" s="32">
        <v>3000</v>
      </c>
      <c r="Y452" s="32">
        <v>3000</v>
      </c>
      <c r="Z452" s="32">
        <v>0</v>
      </c>
      <c r="AA452" s="33">
        <v>2000</v>
      </c>
      <c r="AB452" s="34">
        <v>2000</v>
      </c>
      <c r="AC452" s="35">
        <v>0</v>
      </c>
      <c r="AD452" s="36"/>
    </row>
    <row r="453" spans="1:30" ht="16.5" customHeight="1" x14ac:dyDescent="0.25">
      <c r="A453" s="19" t="s">
        <v>1839</v>
      </c>
      <c r="B453" s="19" t="s">
        <v>1840</v>
      </c>
      <c r="C453" s="19" t="s">
        <v>1841</v>
      </c>
      <c r="D453" s="19" t="s">
        <v>697</v>
      </c>
      <c r="E453" s="20"/>
      <c r="F453" s="21">
        <v>1</v>
      </c>
      <c r="G453" s="55"/>
      <c r="H453" s="23">
        <v>2000</v>
      </c>
      <c r="I453" s="24">
        <v>2000</v>
      </c>
      <c r="J453" s="23">
        <v>0</v>
      </c>
      <c r="K453" s="40">
        <f t="shared" si="42"/>
        <v>2000</v>
      </c>
      <c r="L453" s="41">
        <f t="shared" si="43"/>
        <v>1</v>
      </c>
      <c r="M453" s="27">
        <v>0</v>
      </c>
      <c r="N453" s="28">
        <f t="shared" si="44"/>
        <v>2000</v>
      </c>
      <c r="O453" s="29">
        <f t="shared" si="45"/>
        <v>2000</v>
      </c>
      <c r="P453" s="29">
        <f t="shared" si="46"/>
        <v>2000</v>
      </c>
      <c r="Q453" s="30" t="e" cm="1">
        <f t="array" aca="1" ref="Q453" ca="1">spellNumber(P453)</f>
        <v>#NAME?</v>
      </c>
      <c r="R453" s="31">
        <f t="shared" si="47"/>
        <v>2200</v>
      </c>
      <c r="S453" s="32">
        <v>0</v>
      </c>
      <c r="T453" s="32">
        <v>0</v>
      </c>
      <c r="U453" s="32">
        <v>0</v>
      </c>
      <c r="V453" s="32">
        <v>0</v>
      </c>
      <c r="W453" s="32">
        <v>0</v>
      </c>
      <c r="X453" s="32">
        <v>4000</v>
      </c>
      <c r="Y453" s="32">
        <v>2000</v>
      </c>
      <c r="Z453" s="32">
        <v>2000</v>
      </c>
      <c r="AA453" s="33">
        <v>2000</v>
      </c>
      <c r="AB453" s="34">
        <v>2000</v>
      </c>
      <c r="AC453" s="35">
        <v>2000</v>
      </c>
      <c r="AD453" s="36"/>
    </row>
    <row r="454" spans="1:30" ht="16.5" customHeight="1" x14ac:dyDescent="0.25">
      <c r="A454" s="19" t="s">
        <v>1842</v>
      </c>
      <c r="B454" s="19" t="s">
        <v>707</v>
      </c>
      <c r="C454" s="19" t="s">
        <v>707</v>
      </c>
      <c r="D454" s="19" t="s">
        <v>707</v>
      </c>
      <c r="E454" s="20" t="s">
        <v>34</v>
      </c>
      <c r="F454" s="21">
        <v>0</v>
      </c>
      <c r="G454" s="54"/>
      <c r="H454" s="23">
        <v>0</v>
      </c>
      <c r="I454" s="24">
        <v>0</v>
      </c>
      <c r="J454" s="23">
        <v>0</v>
      </c>
      <c r="K454" s="25">
        <f t="shared" si="42"/>
        <v>0</v>
      </c>
      <c r="L454" s="26" t="e">
        <f t="shared" si="43"/>
        <v>#DIV/0!</v>
      </c>
      <c r="M454" s="27">
        <v>0</v>
      </c>
      <c r="N454" s="28">
        <f t="shared" si="44"/>
        <v>0</v>
      </c>
      <c r="O454" s="29">
        <f t="shared" si="45"/>
        <v>0</v>
      </c>
      <c r="P454" s="29">
        <f t="shared" si="46"/>
        <v>0</v>
      </c>
      <c r="Q454" s="30" t="e" cm="1">
        <f t="array" aca="1" ref="Q454" ca="1">spellNumber(P454)</f>
        <v>#NAME?</v>
      </c>
      <c r="R454" s="31"/>
      <c r="S454" s="32">
        <v>0</v>
      </c>
      <c r="T454" s="32">
        <v>0</v>
      </c>
      <c r="U454" s="32">
        <v>0</v>
      </c>
      <c r="V454" s="32">
        <v>0</v>
      </c>
      <c r="W454" s="32">
        <v>0</v>
      </c>
      <c r="X454" s="32">
        <v>0</v>
      </c>
      <c r="Y454" s="32">
        <v>0</v>
      </c>
      <c r="Z454" s="32">
        <v>0</v>
      </c>
      <c r="AA454" s="33">
        <v>0</v>
      </c>
      <c r="AB454" s="34">
        <v>0</v>
      </c>
      <c r="AC454" s="35">
        <v>0</v>
      </c>
      <c r="AD454" s="36"/>
    </row>
    <row r="455" spans="1:30" ht="15.75" x14ac:dyDescent="0.25">
      <c r="A455" s="19" t="s">
        <v>1843</v>
      </c>
      <c r="B455" s="19" t="s">
        <v>1844</v>
      </c>
      <c r="C455" s="19" t="s">
        <v>1845</v>
      </c>
      <c r="D455" s="19" t="s">
        <v>697</v>
      </c>
      <c r="E455" s="20"/>
      <c r="F455" s="21">
        <v>1</v>
      </c>
      <c r="G455" s="54"/>
      <c r="H455" s="23">
        <v>2000</v>
      </c>
      <c r="I455" s="24">
        <v>2000</v>
      </c>
      <c r="J455" s="23">
        <v>2000</v>
      </c>
      <c r="K455" s="25">
        <f t="shared" si="42"/>
        <v>0</v>
      </c>
      <c r="L455" s="26">
        <f t="shared" si="43"/>
        <v>0</v>
      </c>
      <c r="M455" s="27">
        <v>0</v>
      </c>
      <c r="N455" s="28">
        <f t="shared" si="44"/>
        <v>2000</v>
      </c>
      <c r="O455" s="29">
        <f t="shared" si="45"/>
        <v>2000</v>
      </c>
      <c r="P455" s="29">
        <f t="shared" si="46"/>
        <v>2000</v>
      </c>
      <c r="Q455" s="30" t="e" cm="1">
        <f t="array" aca="1" ref="Q455" ca="1">spellNumber(P455)</f>
        <v>#NAME?</v>
      </c>
      <c r="R455" s="31">
        <f t="shared" ref="R455:R458" si="48">O455+200</f>
        <v>2200</v>
      </c>
      <c r="S455" s="32">
        <v>0</v>
      </c>
      <c r="T455" s="32">
        <v>0</v>
      </c>
      <c r="U455" s="32">
        <v>0</v>
      </c>
      <c r="V455" s="32">
        <v>0</v>
      </c>
      <c r="W455" s="32">
        <v>0</v>
      </c>
      <c r="X455" s="32">
        <v>4000</v>
      </c>
      <c r="Y455" s="32">
        <v>2000</v>
      </c>
      <c r="Z455" s="32">
        <v>2000</v>
      </c>
      <c r="AA455" s="33">
        <v>2000</v>
      </c>
      <c r="AB455" s="34">
        <v>2000</v>
      </c>
      <c r="AC455" s="35">
        <v>2000</v>
      </c>
      <c r="AD455" s="57"/>
    </row>
    <row r="456" spans="1:30" ht="15.75" x14ac:dyDescent="0.25">
      <c r="A456" s="19" t="s">
        <v>1846</v>
      </c>
      <c r="B456" s="19" t="s">
        <v>1847</v>
      </c>
      <c r="C456" s="19" t="s">
        <v>1848</v>
      </c>
      <c r="D456" s="19" t="s">
        <v>697</v>
      </c>
      <c r="E456" s="20"/>
      <c r="F456" s="21">
        <v>1</v>
      </c>
      <c r="G456" s="58"/>
      <c r="H456" s="23">
        <v>1500</v>
      </c>
      <c r="I456" s="24">
        <v>3000</v>
      </c>
      <c r="J456" s="23">
        <v>1500</v>
      </c>
      <c r="K456" s="25">
        <f t="shared" si="42"/>
        <v>1500</v>
      </c>
      <c r="L456" s="26">
        <f t="shared" si="43"/>
        <v>1</v>
      </c>
      <c r="M456" s="27">
        <v>0</v>
      </c>
      <c r="N456" s="28">
        <f t="shared" si="44"/>
        <v>3000</v>
      </c>
      <c r="O456" s="29">
        <f t="shared" si="45"/>
        <v>3000</v>
      </c>
      <c r="P456" s="29">
        <f t="shared" si="46"/>
        <v>3000</v>
      </c>
      <c r="Q456" s="30" t="e" cm="1">
        <f t="array" aca="1" ref="Q456" ca="1">spellNumber(P456)</f>
        <v>#NAME?</v>
      </c>
      <c r="R456" s="31">
        <f t="shared" si="48"/>
        <v>3200</v>
      </c>
      <c r="S456" s="32">
        <v>0</v>
      </c>
      <c r="T456" s="32">
        <v>0</v>
      </c>
      <c r="U456" s="32">
        <v>0</v>
      </c>
      <c r="V456" s="32">
        <v>0</v>
      </c>
      <c r="W456" s="32">
        <v>0</v>
      </c>
      <c r="X456" s="32">
        <v>3000</v>
      </c>
      <c r="Y456" s="32">
        <v>0</v>
      </c>
      <c r="Z456" s="32">
        <v>1500</v>
      </c>
      <c r="AA456" s="33">
        <v>0</v>
      </c>
      <c r="AB456" s="34">
        <v>1500</v>
      </c>
      <c r="AC456" s="35">
        <v>1500</v>
      </c>
      <c r="AD456" s="57"/>
    </row>
    <row r="457" spans="1:30" ht="15.75" x14ac:dyDescent="0.25">
      <c r="A457" s="19" t="s">
        <v>1849</v>
      </c>
      <c r="B457" s="19" t="s">
        <v>1850</v>
      </c>
      <c r="C457" s="19" t="s">
        <v>1851</v>
      </c>
      <c r="D457" s="19" t="s">
        <v>434</v>
      </c>
      <c r="E457" s="20" t="s">
        <v>40</v>
      </c>
      <c r="F457" s="21">
        <v>1</v>
      </c>
      <c r="G457" s="58"/>
      <c r="H457" s="23">
        <v>2500</v>
      </c>
      <c r="I457" s="24">
        <v>2500</v>
      </c>
      <c r="J457" s="23">
        <v>2500</v>
      </c>
      <c r="K457" s="25">
        <f t="shared" si="42"/>
        <v>0</v>
      </c>
      <c r="L457" s="26">
        <f t="shared" si="43"/>
        <v>0</v>
      </c>
      <c r="M457" s="27">
        <v>0</v>
      </c>
      <c r="N457" s="28">
        <f t="shared" si="44"/>
        <v>2500</v>
      </c>
      <c r="O457" s="29">
        <f t="shared" si="45"/>
        <v>2500</v>
      </c>
      <c r="P457" s="29">
        <f t="shared" si="46"/>
        <v>2500</v>
      </c>
      <c r="Q457" s="30" t="e" cm="1">
        <f t="array" aca="1" ref="Q457" ca="1">spellNumber(P457)</f>
        <v>#NAME?</v>
      </c>
      <c r="R457" s="31">
        <f t="shared" si="48"/>
        <v>2700</v>
      </c>
      <c r="S457" s="32">
        <v>0</v>
      </c>
      <c r="T457" s="32">
        <v>0</v>
      </c>
      <c r="U457" s="32">
        <v>0</v>
      </c>
      <c r="V457" s="32">
        <v>0</v>
      </c>
      <c r="W457" s="32">
        <v>0</v>
      </c>
      <c r="X457" s="32">
        <v>0</v>
      </c>
      <c r="Y457" s="32">
        <v>4500</v>
      </c>
      <c r="Z457" s="32">
        <v>2500</v>
      </c>
      <c r="AA457" s="33">
        <v>2500</v>
      </c>
      <c r="AB457" s="34">
        <v>2500</v>
      </c>
      <c r="AC457" s="35">
        <v>2500</v>
      </c>
      <c r="AD457" s="57"/>
    </row>
    <row r="458" spans="1:30" ht="15.75" x14ac:dyDescent="0.25">
      <c r="A458" s="19" t="s">
        <v>1852</v>
      </c>
      <c r="B458" s="19" t="s">
        <v>1853</v>
      </c>
      <c r="C458" s="19" t="s">
        <v>1854</v>
      </c>
      <c r="D458" s="19" t="s">
        <v>434</v>
      </c>
      <c r="E458" s="20" t="s">
        <v>40</v>
      </c>
      <c r="F458" s="21">
        <v>1</v>
      </c>
      <c r="G458" s="58"/>
      <c r="H458" s="23">
        <v>3000</v>
      </c>
      <c r="I458" s="24">
        <v>3000</v>
      </c>
      <c r="J458" s="23">
        <v>3000</v>
      </c>
      <c r="K458" s="25">
        <f t="shared" si="42"/>
        <v>0</v>
      </c>
      <c r="L458" s="26">
        <f t="shared" si="43"/>
        <v>0</v>
      </c>
      <c r="M458" s="27">
        <v>0</v>
      </c>
      <c r="N458" s="28">
        <f t="shared" si="44"/>
        <v>3000</v>
      </c>
      <c r="O458" s="29">
        <f t="shared" si="45"/>
        <v>3000</v>
      </c>
      <c r="P458" s="29">
        <f t="shared" si="46"/>
        <v>3000</v>
      </c>
      <c r="Q458" s="30" t="e" cm="1">
        <f t="array" aca="1" ref="Q458" ca="1">spellNumber(P458)</f>
        <v>#NAME?</v>
      </c>
      <c r="R458" s="31">
        <f t="shared" si="48"/>
        <v>3200</v>
      </c>
      <c r="S458" s="32">
        <v>0</v>
      </c>
      <c r="T458" s="32">
        <v>0</v>
      </c>
      <c r="U458" s="32">
        <v>0</v>
      </c>
      <c r="V458" s="32">
        <v>0</v>
      </c>
      <c r="W458" s="32">
        <v>0</v>
      </c>
      <c r="X458" s="32">
        <v>0</v>
      </c>
      <c r="Y458" s="32">
        <v>5000</v>
      </c>
      <c r="Z458" s="32">
        <v>3000</v>
      </c>
      <c r="AA458" s="33">
        <v>3000</v>
      </c>
      <c r="AB458" s="34">
        <v>3000</v>
      </c>
      <c r="AC458" s="35">
        <v>3000</v>
      </c>
      <c r="AD458" s="57"/>
    </row>
    <row r="459" spans="1:30" ht="15.75" x14ac:dyDescent="0.25">
      <c r="A459" s="19" t="s">
        <v>1855</v>
      </c>
      <c r="B459" s="19" t="s">
        <v>1856</v>
      </c>
      <c r="C459" s="19" t="s">
        <v>1857</v>
      </c>
      <c r="D459" s="19" t="s">
        <v>1287</v>
      </c>
      <c r="E459" s="36"/>
      <c r="F459" s="56">
        <v>2</v>
      </c>
      <c r="G459" s="58"/>
      <c r="H459" s="23">
        <v>4400</v>
      </c>
      <c r="I459" s="24">
        <v>4400</v>
      </c>
      <c r="J459" s="23">
        <v>0</v>
      </c>
      <c r="K459" s="25">
        <f t="shared" si="42"/>
        <v>4400</v>
      </c>
      <c r="L459" s="26">
        <f t="shared" si="43"/>
        <v>1</v>
      </c>
      <c r="M459" s="27">
        <v>0</v>
      </c>
      <c r="N459" s="28">
        <f t="shared" si="44"/>
        <v>4400</v>
      </c>
      <c r="O459" s="29">
        <f t="shared" si="45"/>
        <v>4400</v>
      </c>
      <c r="P459" s="29">
        <f t="shared" si="46"/>
        <v>4400</v>
      </c>
      <c r="Q459" s="30" t="e" cm="1">
        <f t="array" aca="1" ref="Q459" ca="1">spellNumber(P459)</f>
        <v>#NAME?</v>
      </c>
      <c r="R459" s="31">
        <f>P459+200</f>
        <v>4600</v>
      </c>
      <c r="S459" s="32">
        <v>0</v>
      </c>
      <c r="T459" s="32">
        <v>0</v>
      </c>
      <c r="U459" s="32">
        <v>0</v>
      </c>
      <c r="V459" s="32">
        <v>0</v>
      </c>
      <c r="W459" s="32">
        <v>0</v>
      </c>
      <c r="X459" s="32">
        <v>0</v>
      </c>
      <c r="Y459" s="32">
        <v>8400</v>
      </c>
      <c r="Z459" s="32">
        <v>0</v>
      </c>
      <c r="AA459" s="33">
        <v>0</v>
      </c>
      <c r="AB459" s="34">
        <v>0</v>
      </c>
      <c r="AC459" s="35">
        <v>13200</v>
      </c>
      <c r="AD459" s="59"/>
    </row>
    <row r="460" spans="1:30" ht="15" customHeight="1" x14ac:dyDescent="0.25">
      <c r="A460" s="19" t="s">
        <v>1858</v>
      </c>
      <c r="B460" s="19" t="s">
        <v>1859</v>
      </c>
      <c r="C460" s="19" t="s">
        <v>1860</v>
      </c>
      <c r="D460" s="19" t="s">
        <v>1156</v>
      </c>
      <c r="E460" s="56"/>
      <c r="F460" s="56">
        <v>1</v>
      </c>
      <c r="G460" s="60"/>
      <c r="H460" s="23">
        <v>2000</v>
      </c>
      <c r="I460" s="24">
        <v>8000</v>
      </c>
      <c r="J460" s="23">
        <v>0</v>
      </c>
      <c r="K460" s="25">
        <f t="shared" si="42"/>
        <v>8000</v>
      </c>
      <c r="L460" s="26">
        <f t="shared" si="43"/>
        <v>4</v>
      </c>
      <c r="M460" s="27">
        <v>0</v>
      </c>
      <c r="N460" s="28">
        <f t="shared" si="44"/>
        <v>8000</v>
      </c>
      <c r="O460" s="29">
        <f t="shared" si="45"/>
        <v>8000</v>
      </c>
      <c r="P460" s="29">
        <f t="shared" si="46"/>
        <v>8000</v>
      </c>
      <c r="Q460" s="30" t="e" cm="1">
        <f t="array" aca="1" ref="Q460" ca="1">spellNumber(P460)</f>
        <v>#NAME?</v>
      </c>
      <c r="R460" s="31">
        <f>P460+200</f>
        <v>8200</v>
      </c>
      <c r="S460" s="32"/>
      <c r="T460" s="32"/>
      <c r="U460" s="32"/>
      <c r="V460" s="32"/>
      <c r="W460" s="32"/>
      <c r="X460" s="32"/>
      <c r="Y460" s="32"/>
      <c r="Z460" s="32"/>
      <c r="AA460" s="32"/>
      <c r="AB460" s="34"/>
      <c r="AC460" s="35"/>
      <c r="AD460" s="59"/>
    </row>
    <row r="461" spans="1:30" x14ac:dyDescent="0.25">
      <c r="A461" s="61" t="s">
        <v>707</v>
      </c>
      <c r="B461" s="61" t="s">
        <v>707</v>
      </c>
      <c r="C461" s="61" t="s">
        <v>707</v>
      </c>
      <c r="D461" s="61" t="s">
        <v>707</v>
      </c>
      <c r="H461" s="64" t="s">
        <v>707</v>
      </c>
      <c r="I461" s="64" t="s">
        <v>707</v>
      </c>
      <c r="J461" s="64" t="s">
        <v>707</v>
      </c>
      <c r="K461" s="65"/>
      <c r="V461" s="67"/>
    </row>
    <row r="462" spans="1:30" x14ac:dyDescent="0.25">
      <c r="J462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khurshid ahmad</dc:creator>
  <cp:lastModifiedBy>khurshid ahmad</cp:lastModifiedBy>
  <dcterms:created xsi:type="dcterms:W3CDTF">2026-03-22T11:42:44Z</dcterms:created>
  <dcterms:modified xsi:type="dcterms:W3CDTF">2026-03-22T11:45:09Z</dcterms:modified>
</cp:coreProperties>
</file>